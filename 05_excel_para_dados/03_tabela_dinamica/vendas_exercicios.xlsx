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ode\Desktop\estudos-analise-dados\05_excel_para_dados\03_tabela_dinamica\"/>
    </mc:Choice>
  </mc:AlternateContent>
  <xr:revisionPtr revIDLastSave="0" documentId="8_{5436598D-F9EC-4CFC-945D-731A884E622E}" xr6:coauthVersionLast="47" xr6:coauthVersionMax="47" xr10:uidLastSave="{00000000-0000-0000-0000-000000000000}"/>
  <bookViews>
    <workbookView xWindow="-120" yWindow="-120" windowWidth="29040" windowHeight="15870" firstSheet="5" activeTab="7" xr2:uid="{8C8A3323-A1AB-4554-ADAA-DCC1477899B4}"/>
  </bookViews>
  <sheets>
    <sheet name="vendas categoria" sheetId="2" r:id="rId1"/>
    <sheet name="media vendedor" sheetId="3" r:id="rId2"/>
    <sheet name="vendas região" sheetId="5" r:id="rId3"/>
    <sheet name="cont. vendas produto" sheetId="6" r:id="rId4"/>
    <sheet name="vendas trimestre e categoria" sheetId="7" r:id="rId5"/>
    <sheet name="vendas por data" sheetId="9" r:id="rId6"/>
    <sheet name="vendas categoria regiao" sheetId="12" r:id="rId7"/>
    <sheet name="vendas categoria regiao tratada" sheetId="13" r:id="rId8"/>
    <sheet name="vendas" sheetId="1" r:id="rId9"/>
  </sheets>
  <definedNames>
    <definedName name="SegmentaçãodeDados_regiao">#N/A</definedName>
    <definedName name="SegmentaçãodeDados_vendedor">#N/A</definedName>
  </definedNames>
  <calcPr calcId="0"/>
  <pivotCaches>
    <pivotCache cacheId="22" r:id="rId10"/>
    <pivotCache cacheId="30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</calcChain>
</file>

<file path=xl/sharedStrings.xml><?xml version="1.0" encoding="utf-8"?>
<sst xmlns="http://schemas.openxmlformats.org/spreadsheetml/2006/main" count="2107" uniqueCount="62">
  <si>
    <t>data</t>
  </si>
  <si>
    <t>ano</t>
  </si>
  <si>
    <t>mes</t>
  </si>
  <si>
    <t>trimestre</t>
  </si>
  <si>
    <t>produto</t>
  </si>
  <si>
    <t>categoria</t>
  </si>
  <si>
    <t>vendedor</t>
  </si>
  <si>
    <t>regiao</t>
  </si>
  <si>
    <t>quantidade</t>
  </si>
  <si>
    <t>preco_unitario</t>
  </si>
  <si>
    <t>valor_total</t>
  </si>
  <si>
    <t>Jaqueta</t>
  </si>
  <si>
    <t>Calçados</t>
  </si>
  <si>
    <t>Carla</t>
  </si>
  <si>
    <t>Norte</t>
  </si>
  <si>
    <t>Calça Jeans</t>
  </si>
  <si>
    <t>Elisa</t>
  </si>
  <si>
    <t>Leste</t>
  </si>
  <si>
    <t>Camiseta</t>
  </si>
  <si>
    <t>Vestuário</t>
  </si>
  <si>
    <t>Bruno</t>
  </si>
  <si>
    <t>Centro-Oeste</t>
  </si>
  <si>
    <t>Boné</t>
  </si>
  <si>
    <t>Acessórios</t>
  </si>
  <si>
    <t>Daniel</t>
  </si>
  <si>
    <t>Regata</t>
  </si>
  <si>
    <t>Sul</t>
  </si>
  <si>
    <t>Tênis</t>
  </si>
  <si>
    <t>Ana</t>
  </si>
  <si>
    <t>Oeste</t>
  </si>
  <si>
    <t>Moletom</t>
  </si>
  <si>
    <t>Cinto</t>
  </si>
  <si>
    <t>Meia</t>
  </si>
  <si>
    <t>Bermuda</t>
  </si>
  <si>
    <t>Rótulos de Linha</t>
  </si>
  <si>
    <t>(vazio)</t>
  </si>
  <si>
    <t>Total Geral</t>
  </si>
  <si>
    <t>Soma de valor_total</t>
  </si>
  <si>
    <t>Contagem de valor_total</t>
  </si>
  <si>
    <t>Média de valor_total</t>
  </si>
  <si>
    <t>Rótulos de Coluna</t>
  </si>
  <si>
    <t>Soma de quantidade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</si>
  <si>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</si>
  <si>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</si>
  <si>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</si>
  <si>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</si>
  <si>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</si>
  <si>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</si>
  <si>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</si>
  <si>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</si>
  <si>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</si>
  <si>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</si>
  <si>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</si>
  <si>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</si>
  <si>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2024</t>
  </si>
  <si>
    <t>Soma de valor_total2</t>
  </si>
  <si>
    <t>regiao_tratada</t>
  </si>
  <si>
    <t>categoria_tratada</t>
  </si>
  <si>
    <t>valor_total_tratado</t>
  </si>
  <si>
    <t>Outros</t>
  </si>
  <si>
    <t>Não informado</t>
  </si>
  <si>
    <t>Soma de valor_total_tratado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</si>
</sst>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44" fontId="0" fillId="0" borderId="0" xfId="1" applyFont="1"/>
    <xf numFmtId="44" fontId="0" fillId="0" borderId="0" xfId="0" applyNumberFormat="1"/>
    <xf numFmtId="10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3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[$R$-416]\ * #,##0.00_-;\-[$R$-416]\ * #,##0.00_-;_-[$R$-416]\ * &quot;-&quot;??_-;_-@_-"/>
    </dxf>
    <dxf>
      <numFmt numFmtId="165" formatCode="&quot;R$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3</xdr:row>
      <xdr:rowOff>0</xdr:rowOff>
    </xdr:from>
    <xdr:to>
      <xdr:col>5</xdr:col>
      <xdr:colOff>828675</xdr:colOff>
      <xdr:row>17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ACC111D5-5799-4919-E69F-17532091B2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500" y="5715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1219200</xdr:colOff>
      <xdr:row>3</xdr:row>
      <xdr:rowOff>47625</xdr:rowOff>
    </xdr:from>
    <xdr:to>
      <xdr:col>8</xdr:col>
      <xdr:colOff>476250</xdr:colOff>
      <xdr:row>17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ao">
              <a:extLst>
                <a:ext uri="{FF2B5EF4-FFF2-40B4-BE49-F238E27FC236}">
                  <a16:creationId xmlns:a16="http://schemas.microsoft.com/office/drawing/2014/main" id="{1B827612-8746-9455-2954-928FB2A1DD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a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6191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de" refreshedDate="46170.474155324075" createdVersion="8" refreshedVersion="8" minRefreshableVersion="3" recordCount="500" xr:uid="{E2B2DAB0-FA76-4CB9-B316-FBCF9E60E793}">
  <cacheSource type="worksheet">
    <worksheetSource name="tblVendas"/>
  </cacheSource>
  <cacheFields count="13">
    <cacheField name="data" numFmtId="14">
      <sharedItems containsSemiMixedTypes="0" containsNonDate="0" containsDate="1" containsString="0" minDate="2024-01-01T00:00:00" maxDate="2025-01-01T00:00:00" count="267">
        <d v="2024-04-12T00:00:00"/>
        <d v="2024-12-14T00:00:00"/>
        <d v="2024-09-27T00:00:00"/>
        <d v="2024-04-16T00:00:00"/>
        <d v="2024-03-12T00:00:00"/>
        <d v="2024-07-07T00:00:00"/>
        <d v="2024-01-21T00:00:00"/>
        <d v="2024-05-01T00:00:00"/>
        <d v="2024-08-02T00:00:00"/>
        <d v="2024-11-26T00:00:00"/>
        <d v="2024-03-28T00:00:00"/>
        <d v="2024-04-09T00:00:00"/>
        <d v="2024-12-25T00:00:00"/>
        <d v="2024-05-31T00:00:00"/>
        <d v="2024-05-10T00:00:00"/>
        <d v="2024-05-29T00:00:00"/>
        <d v="2024-11-04T00:00:00"/>
        <d v="2024-09-14T00:00:00"/>
        <d v="2024-12-09T00:00:00"/>
        <d v="2024-10-20T00:00:00"/>
        <d v="2024-07-10T00:00:00"/>
        <d v="2024-10-03T00:00:00"/>
        <d v="2024-06-09T00:00:00"/>
        <d v="2024-11-09T00:00:00"/>
        <d v="2024-01-22T00:00:00"/>
        <d v="2024-09-09T00:00:00"/>
        <d v="2024-08-23T00:00:00"/>
        <d v="2024-12-10T00:00:00"/>
        <d v="2024-02-18T00:00:00"/>
        <d v="2024-02-28T00:00:00"/>
        <d v="2024-06-18T00:00:00"/>
        <d v="2024-07-06T00:00:00"/>
        <d v="2024-07-08T00:00:00"/>
        <d v="2024-06-23T00:00:00"/>
        <d v="2024-02-20T00:00:00"/>
        <d v="2024-12-29T00:00:00"/>
        <d v="2024-02-24T00:00:00"/>
        <d v="2024-08-31T00:00:00"/>
        <d v="2024-11-15T00:00:00"/>
        <d v="2024-11-02T00:00:00"/>
        <d v="2024-05-14T00:00:00"/>
        <d v="2024-11-24T00:00:00"/>
        <d v="2024-06-15T00:00:00"/>
        <d v="2024-09-30T00:00:00"/>
        <d v="2024-03-29T00:00:00"/>
        <d v="2024-11-11T00:00:00"/>
        <d v="2024-01-14T00:00:00"/>
        <d v="2024-08-29T00:00:00"/>
        <d v="2024-09-21T00:00:00"/>
        <d v="2024-12-11T00:00:00"/>
        <d v="2024-02-22T00:00:00"/>
        <d v="2024-12-05T00:00:00"/>
        <d v="2024-04-01T00:00:00"/>
        <d v="2024-09-20T00:00:00"/>
        <d v="2024-02-04T00:00:00"/>
        <d v="2024-07-24T00:00:00"/>
        <d v="2024-03-21T00:00:00"/>
        <d v="2024-02-19T00:00:00"/>
        <d v="2024-01-02T00:00:00"/>
        <d v="2024-02-23T00:00:00"/>
        <d v="2024-04-15T00:00:00"/>
        <d v="2024-09-16T00:00:00"/>
        <d v="2024-11-05T00:00:00"/>
        <d v="2024-07-09T00:00:00"/>
        <d v="2024-08-05T00:00:00"/>
        <d v="2024-02-13T00:00:00"/>
        <d v="2024-06-10T00:00:00"/>
        <d v="2024-07-20T00:00:00"/>
        <d v="2024-09-26T00:00:00"/>
        <d v="2024-12-16T00:00:00"/>
        <d v="2024-10-30T00:00:00"/>
        <d v="2024-09-08T00:00:00"/>
        <d v="2024-10-22T00:00:00"/>
        <d v="2024-07-31T00:00:00"/>
        <d v="2024-07-26T00:00:00"/>
        <d v="2024-08-24T00:00:00"/>
        <d v="2024-12-03T00:00:00"/>
        <d v="2024-10-06T00:00:00"/>
        <d v="2024-08-04T00:00:00"/>
        <d v="2024-02-10T00:00:00"/>
        <d v="2024-06-05T00:00:00"/>
        <d v="2024-01-15T00:00:00"/>
        <d v="2024-10-27T00:00:00"/>
        <d v="2024-03-05T00:00:00"/>
        <d v="2024-11-22T00:00:00"/>
        <d v="2024-01-09T00:00:00"/>
        <d v="2024-05-08T00:00:00"/>
        <d v="2024-05-15T00:00:00"/>
        <d v="2024-03-03T00:00:00"/>
        <d v="2024-05-18T00:00:00"/>
        <d v="2024-06-11T00:00:00"/>
        <d v="2024-10-15T00:00:00"/>
        <d v="2024-09-17T00:00:00"/>
        <d v="2024-08-18T00:00:00"/>
        <d v="2024-01-28T00:00:00"/>
        <d v="2024-07-19T00:00:00"/>
        <d v="2024-11-23T00:00:00"/>
        <d v="2024-09-24T00:00:00"/>
        <d v="2024-02-02T00:00:00"/>
        <d v="2024-02-17T00:00:00"/>
        <d v="2024-03-02T00:00:00"/>
        <d v="2024-08-03T00:00:00"/>
        <d v="2024-10-19T00:00:00"/>
        <d v="2024-04-08T00:00:00"/>
        <d v="2024-06-20T00:00:00"/>
        <d v="2024-08-01T00:00:00"/>
        <d v="2024-08-14T00:00:00"/>
        <d v="2024-04-10T00:00:00"/>
        <d v="2024-09-13T00:00:00"/>
        <d v="2024-01-05T00:00:00"/>
        <d v="2024-09-11T00:00:00"/>
        <d v="2024-12-24T00:00:00"/>
        <d v="2024-10-09T00:00:00"/>
        <d v="2024-07-25T00:00:00"/>
        <d v="2024-02-11T00:00:00"/>
        <d v="2024-06-27T00:00:00"/>
        <d v="2024-12-17T00:00:00"/>
        <d v="2024-08-28T00:00:00"/>
        <d v="2024-02-21T00:00:00"/>
        <d v="2024-04-05T00:00:00"/>
        <d v="2024-08-09T00:00:00"/>
        <d v="2024-05-22T00:00:00"/>
        <d v="2024-06-19T00:00:00"/>
        <d v="2024-01-29T00:00:00"/>
        <d v="2024-02-05T00:00:00"/>
        <d v="2024-01-13T00:00:00"/>
        <d v="2024-06-08T00:00:00"/>
        <d v="2024-07-05T00:00:00"/>
        <d v="2024-08-30T00:00:00"/>
        <d v="2024-03-26T00:00:00"/>
        <d v="2024-10-10T00:00:00"/>
        <d v="2024-03-06T00:00:00"/>
        <d v="2024-02-14T00:00:00"/>
        <d v="2024-05-13T00:00:00"/>
        <d v="2024-04-17T00:00:00"/>
        <d v="2024-10-12T00:00:00"/>
        <d v="2024-05-07T00:00:00"/>
        <d v="2024-12-13T00:00:00"/>
        <d v="2024-08-12T00:00:00"/>
        <d v="2024-04-30T00:00:00"/>
        <d v="2024-04-25T00:00:00"/>
        <d v="2024-08-20T00:00:00"/>
        <d v="2024-09-15T00:00:00"/>
        <d v="2024-07-16T00:00:00"/>
        <d v="2024-05-16T00:00:00"/>
        <d v="2024-11-13T00:00:00"/>
        <d v="2024-06-13T00:00:00"/>
        <d v="2024-08-21T00:00:00"/>
        <d v="2024-11-10T00:00:00"/>
        <d v="2024-06-28T00:00:00"/>
        <d v="2024-04-22T00:00:00"/>
        <d v="2024-10-21T00:00:00"/>
        <d v="2024-05-09T00:00:00"/>
        <d v="2024-08-07T00:00:00"/>
        <d v="2024-12-08T00:00:00"/>
        <d v="2024-08-11T00:00:00"/>
        <d v="2024-05-05T00:00:00"/>
        <d v="2024-09-03T00:00:00"/>
        <d v="2024-11-19T00:00:00"/>
        <d v="2024-07-21T00:00:00"/>
        <d v="2024-07-02T00:00:00"/>
        <d v="2024-05-02T00:00:00"/>
        <d v="2024-11-20T00:00:00"/>
        <d v="2024-04-07T00:00:00"/>
        <d v="2024-08-27T00:00:00"/>
        <d v="2024-05-23T00:00:00"/>
        <d v="2024-04-06T00:00:00"/>
        <d v="2024-05-03T00:00:00"/>
        <d v="2024-11-21T00:00:00"/>
        <d v="2024-05-27T00:00:00"/>
        <d v="2024-05-26T00:00:00"/>
        <d v="2024-07-17T00:00:00"/>
        <d v="2024-11-03T00:00:00"/>
        <d v="2024-02-08T00:00:00"/>
        <d v="2024-09-23T00:00:00"/>
        <d v="2024-05-30T00:00:00"/>
        <d v="2024-10-24T00:00:00"/>
        <d v="2024-09-19T00:00:00"/>
        <d v="2024-04-21T00:00:00"/>
        <d v="2024-02-29T00:00:00"/>
        <d v="2024-09-10T00:00:00"/>
        <d v="2024-05-19T00:00:00"/>
        <d v="2024-02-06T00:00:00"/>
        <d v="2024-04-29T00:00:00"/>
        <d v="2024-03-15T00:00:00"/>
        <d v="2024-04-13T00:00:00"/>
        <d v="2024-06-01T00:00:00"/>
        <d v="2024-12-31T00:00:00"/>
        <d v="2024-07-12T00:00:00"/>
        <d v="2024-06-17T00:00:00"/>
        <d v="2024-03-08T00:00:00"/>
        <d v="2024-07-13T00:00:00"/>
        <d v="2024-06-24T00:00:00"/>
        <d v="2024-08-25T00:00:00"/>
        <d v="2024-06-06T00:00:00"/>
        <d v="2024-02-07T00:00:00"/>
        <d v="2024-08-17T00:00:00"/>
        <d v="2024-12-30T00:00:00"/>
        <d v="2024-01-27T00:00:00"/>
        <d v="2024-08-13T00:00:00"/>
        <d v="2024-11-12T00:00:00"/>
        <d v="2024-01-04T00:00:00"/>
        <d v="2024-01-17T00:00:00"/>
        <d v="2024-02-15T00:00:00"/>
        <d v="2024-01-06T00:00:00"/>
        <d v="2024-10-28T00:00:00"/>
        <d v="2024-06-29T00:00:00"/>
        <d v="2024-04-04T00:00:00"/>
        <d v="2024-09-12T00:00:00"/>
        <d v="2024-11-18T00:00:00"/>
        <d v="2024-01-18T00:00:00"/>
        <d v="2024-10-07T00:00:00"/>
        <d v="2024-08-10T00:00:00"/>
        <d v="2024-02-27T00:00:00"/>
        <d v="2024-06-22T00:00:00"/>
        <d v="2024-04-23T00:00:00"/>
        <d v="2024-10-14T00:00:00"/>
        <d v="2024-12-07T00:00:00"/>
        <d v="2024-05-06T00:00:00"/>
        <d v="2024-06-03T00:00:00"/>
        <d v="2024-09-29T00:00:00"/>
        <d v="2024-10-25T00:00:00"/>
        <d v="2024-09-02T00:00:00"/>
        <d v="2024-01-26T00:00:00"/>
        <d v="2024-12-20T00:00:00"/>
        <d v="2024-11-01T00:00:00"/>
        <d v="2024-11-08T00:00:00"/>
        <d v="2024-06-21T00:00:00"/>
        <d v="2024-01-20T00:00:00"/>
        <d v="2024-11-16T00:00:00"/>
        <d v="2024-05-21T00:00:00"/>
        <d v="2024-12-19T00:00:00"/>
        <d v="2024-11-17T00:00:00"/>
        <d v="2024-07-04T00:00:00"/>
        <d v="2024-05-04T00:00:00"/>
        <d v="2024-10-31T00:00:00"/>
        <d v="2024-07-14T00:00:00"/>
        <d v="2024-09-18T00:00:00"/>
        <d v="2024-12-15T00:00:00"/>
        <d v="2024-02-16T00:00:00"/>
        <d v="2024-11-06T00:00:00"/>
        <d v="2024-09-25T00:00:00"/>
        <d v="2024-05-24T00:00:00"/>
        <d v="2024-11-14T00:00:00"/>
        <d v="2024-10-01T00:00:00"/>
        <d v="2024-08-16T00:00:00"/>
        <d v="2024-04-26T00:00:00"/>
        <d v="2024-10-05T00:00:00"/>
        <d v="2024-01-01T00:00:00"/>
        <d v="2024-08-26T00:00:00"/>
        <d v="2024-10-16T00:00:00"/>
        <d v="2024-04-27T00:00:00"/>
        <d v="2024-09-28T00:00:00"/>
        <d v="2024-03-09T00:00:00"/>
        <d v="2024-10-04T00:00:00"/>
        <d v="2024-03-16T00:00:00"/>
        <d v="2024-06-02T00:00:00"/>
        <d v="2024-07-03T00:00:00"/>
        <d v="2024-10-11T00:00:00"/>
        <d v="2024-04-03T00:00:00"/>
        <d v="2024-07-22T00:00:00"/>
        <d v="2024-12-06T00:00:00"/>
        <d v="2024-12-22T00:00:00"/>
        <d v="2024-01-23T00:00:00"/>
        <d v="2024-09-06T00:00:00"/>
        <d v="2024-01-10T00:00:00"/>
        <d v="2024-01-16T00:00:00"/>
      </sharedItems>
      <fieldGroup par="12"/>
    </cacheField>
    <cacheField name="ano" numFmtId="0">
      <sharedItems containsSemiMixedTypes="0" containsString="0" containsNumber="1" containsInteger="1" minValue="2024" maxValue="2024"/>
    </cacheField>
    <cacheField name="mes" numFmtId="0">
      <sharedItems containsSemiMixedTypes="0" containsString="0" containsNumber="1" containsInteger="1" minValue="1" maxValue="12" count="12">
        <n v="4"/>
        <n v="12"/>
        <n v="9"/>
        <n v="3"/>
        <n v="7"/>
        <n v="1"/>
        <n v="5"/>
        <n v="8"/>
        <n v="11"/>
        <n v="10"/>
        <n v="6"/>
        <n v="2"/>
      </sharedItems>
    </cacheField>
    <cacheField name="trimestre" numFmtId="0">
      <sharedItems containsSemiMixedTypes="0" containsString="0" containsNumber="1" containsInteger="1" minValue="1" maxValue="4" count="4">
        <n v="2"/>
        <n v="4"/>
        <n v="3"/>
        <n v="1"/>
      </sharedItems>
    </cacheField>
    <cacheField name="produto" numFmtId="0">
      <sharedItems count="10">
        <s v="Jaqueta"/>
        <s v="Calça Jeans"/>
        <s v="Camiseta"/>
        <s v="Boné"/>
        <s v="Regata"/>
        <s v="Tênis"/>
        <s v="Moletom"/>
        <s v="Cinto"/>
        <s v="Meia"/>
        <s v="Bermuda"/>
      </sharedItems>
    </cacheField>
    <cacheField name="categoria" numFmtId="0">
      <sharedItems containsBlank="1" count="4">
        <s v="Calçados"/>
        <s v="Vestuário"/>
        <s v="Acessórios"/>
        <m/>
      </sharedItems>
    </cacheField>
    <cacheField name="vendedor" numFmtId="0">
      <sharedItems count="5">
        <s v="Carla"/>
        <s v="Elisa"/>
        <s v="Bruno"/>
        <s v="Daniel"/>
        <s v="Ana"/>
      </sharedItems>
    </cacheField>
    <cacheField name="regiao" numFmtId="0">
      <sharedItems containsBlank="1" count="6">
        <s v="Norte"/>
        <s v="Leste"/>
        <s v="Centro-Oeste"/>
        <s v="Sul"/>
        <s v="Oeste"/>
        <m/>
      </sharedItems>
    </cacheField>
    <cacheField name="quantidade" numFmtId="0">
      <sharedItems containsSemiMixedTypes="0" containsString="0" containsNumber="1" containsInteger="1" minValue="1" maxValue="19"/>
    </cacheField>
    <cacheField name="preco_unitario" numFmtId="0">
      <sharedItems containsSemiMixedTypes="0" containsString="0" containsNumber="1" containsInteger="1" minValue="30" maxValue="199"/>
    </cacheField>
    <cacheField name="valor_total" numFmtId="0">
      <sharedItems containsSemiMixedTypes="0" containsString="0" containsNumber="1" containsInteger="1" minValue="-999" maxValue="3762"/>
    </cacheField>
    <cacheField name="Meses (data)" numFmtId="0" databaseField="0">
      <fieldGroup base="0">
        <rangePr groupBy="months" startDate="2024-01-01T00:00:00" endDate="2025-01-01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5"/>
        </groupItems>
      </fieldGroup>
    </cacheField>
    <cacheField name="Anos (data)" numFmtId="0" databaseField="0">
      <fieldGroup base="0">
        <rangePr groupBy="years" startDate="2024-01-01T00:00:00" endDate="2025-01-01T00:00:00"/>
        <groupItems count="4">
          <s v="&lt;01/01/2024"/>
          <s v="2024"/>
          <s v="2025"/>
          <s v="&gt;01/01/2025"/>
        </groupItems>
      </fieldGroup>
    </cacheField>
  </cacheFields>
  <extLst>
    <ext xmlns:x14="http://schemas.microsoft.com/office/spreadsheetml/2009/9/main" uri="{725AE2AE-9491-48be-B2B4-4EB974FC3084}">
      <x14:pivotCacheDefinition pivotCacheId="201493387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de" refreshedDate="46170.513795254628" createdVersion="8" refreshedVersion="8" minRefreshableVersion="3" recordCount="501" xr:uid="{2B4BFDD5-95C8-46AC-8A6D-1005F030DEDB}">
  <cacheSource type="worksheet">
    <worksheetSource ref="A1:N1048576" sheet="vendas"/>
  </cacheSource>
  <cacheFields count="14">
    <cacheField name="data" numFmtId="0">
      <sharedItems containsNonDate="0" containsDate="1" containsString="0" containsBlank="1" minDate="2024-01-01T00:00:00" maxDate="2025-01-01T00:00:00"/>
    </cacheField>
    <cacheField name="ano" numFmtId="0">
      <sharedItems containsString="0" containsBlank="1" containsNumber="1" containsInteger="1" minValue="2024" maxValue="2024"/>
    </cacheField>
    <cacheField name="mes" numFmtId="0">
      <sharedItems containsString="0" containsBlank="1" containsNumber="1" containsInteger="1" minValue="1" maxValue="12"/>
    </cacheField>
    <cacheField name="trimestre" numFmtId="0">
      <sharedItems containsString="0" containsBlank="1" containsNumber="1" containsInteger="1" minValue="1" maxValue="4"/>
    </cacheField>
    <cacheField name="produto" numFmtId="0">
      <sharedItems containsBlank="1"/>
    </cacheField>
    <cacheField name="categoria" numFmtId="0">
      <sharedItems containsBlank="1" count="4">
        <s v="Calçados"/>
        <s v="Vestuário"/>
        <s v="Acessórios"/>
        <m/>
      </sharedItems>
    </cacheField>
    <cacheField name="vendedor" numFmtId="0">
      <sharedItems containsBlank="1"/>
    </cacheField>
    <cacheField name="regiao" numFmtId="0">
      <sharedItems containsBlank="1" count="6">
        <s v="Norte"/>
        <s v="Leste"/>
        <s v="Centro-Oeste"/>
        <s v="Sul"/>
        <s v="Oeste"/>
        <m/>
      </sharedItems>
    </cacheField>
    <cacheField name="quantidade" numFmtId="0">
      <sharedItems containsString="0" containsBlank="1" containsNumber="1" containsInteger="1" minValue="1" maxValue="19"/>
    </cacheField>
    <cacheField name="preco_unitario" numFmtId="0">
      <sharedItems containsString="0" containsBlank="1" containsNumber="1" containsInteger="1" minValue="30" maxValue="199"/>
    </cacheField>
    <cacheField name="valor_total" numFmtId="0">
      <sharedItems containsString="0" containsBlank="1" containsNumber="1" containsInteger="1" minValue="-999" maxValue="3762"/>
    </cacheField>
    <cacheField name="regiao_tratada" numFmtId="0">
      <sharedItems containsBlank="1" count="7">
        <s v="Norte"/>
        <s v="Leste"/>
        <s v="Centro-Oeste"/>
        <s v="Sul"/>
        <s v="Oeste"/>
        <s v="Não informado"/>
        <m/>
      </sharedItems>
    </cacheField>
    <cacheField name="categoria_tratada" numFmtId="0">
      <sharedItems containsBlank="1" count="5">
        <s v="Calçados"/>
        <s v="Vestuário"/>
        <s v="Acessórios"/>
        <s v="Outros"/>
        <m/>
      </sharedItems>
    </cacheField>
    <cacheField name="valor_total_tratado" numFmtId="0">
      <sharedItems containsString="0" containsBlank="1" containsNumber="1" minValue="46" maxValue="37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n v="2024"/>
    <x v="0"/>
    <x v="0"/>
    <x v="0"/>
    <x v="0"/>
    <x v="0"/>
    <x v="0"/>
    <n v="3"/>
    <n v="113"/>
    <n v="339"/>
  </r>
  <r>
    <x v="1"/>
    <n v="2024"/>
    <x v="1"/>
    <x v="1"/>
    <x v="1"/>
    <x v="0"/>
    <x v="1"/>
    <x v="1"/>
    <n v="7"/>
    <n v="85"/>
    <n v="595"/>
  </r>
  <r>
    <x v="2"/>
    <n v="2024"/>
    <x v="2"/>
    <x v="2"/>
    <x v="2"/>
    <x v="1"/>
    <x v="2"/>
    <x v="2"/>
    <n v="17"/>
    <n v="170"/>
    <n v="2890"/>
  </r>
  <r>
    <x v="3"/>
    <n v="2024"/>
    <x v="0"/>
    <x v="0"/>
    <x v="3"/>
    <x v="2"/>
    <x v="3"/>
    <x v="2"/>
    <n v="12"/>
    <n v="78"/>
    <n v="936"/>
  </r>
  <r>
    <x v="4"/>
    <n v="2024"/>
    <x v="3"/>
    <x v="3"/>
    <x v="4"/>
    <x v="2"/>
    <x v="2"/>
    <x v="0"/>
    <n v="9"/>
    <n v="75"/>
    <n v="675"/>
  </r>
  <r>
    <x v="5"/>
    <n v="2024"/>
    <x v="4"/>
    <x v="2"/>
    <x v="1"/>
    <x v="2"/>
    <x v="1"/>
    <x v="3"/>
    <n v="15"/>
    <n v="142"/>
    <n v="2130"/>
  </r>
  <r>
    <x v="6"/>
    <n v="2024"/>
    <x v="5"/>
    <x v="3"/>
    <x v="5"/>
    <x v="0"/>
    <x v="4"/>
    <x v="4"/>
    <n v="18"/>
    <n v="165"/>
    <n v="2970"/>
  </r>
  <r>
    <x v="0"/>
    <n v="2024"/>
    <x v="0"/>
    <x v="0"/>
    <x v="2"/>
    <x v="0"/>
    <x v="4"/>
    <x v="3"/>
    <n v="13"/>
    <n v="72"/>
    <n v="936"/>
  </r>
  <r>
    <x v="7"/>
    <n v="2024"/>
    <x v="6"/>
    <x v="0"/>
    <x v="2"/>
    <x v="2"/>
    <x v="1"/>
    <x v="3"/>
    <n v="8"/>
    <n v="177"/>
    <n v="1416"/>
  </r>
  <r>
    <x v="8"/>
    <n v="2024"/>
    <x v="7"/>
    <x v="2"/>
    <x v="5"/>
    <x v="2"/>
    <x v="4"/>
    <x v="0"/>
    <n v="14"/>
    <n v="153"/>
    <n v="2142"/>
  </r>
  <r>
    <x v="9"/>
    <n v="2024"/>
    <x v="8"/>
    <x v="1"/>
    <x v="6"/>
    <x v="2"/>
    <x v="4"/>
    <x v="5"/>
    <n v="8"/>
    <n v="126"/>
    <n v="1008"/>
  </r>
  <r>
    <x v="10"/>
    <n v="2024"/>
    <x v="3"/>
    <x v="3"/>
    <x v="5"/>
    <x v="0"/>
    <x v="4"/>
    <x v="0"/>
    <n v="14"/>
    <n v="119"/>
    <n v="1666"/>
  </r>
  <r>
    <x v="11"/>
    <n v="2024"/>
    <x v="0"/>
    <x v="0"/>
    <x v="2"/>
    <x v="2"/>
    <x v="3"/>
    <x v="0"/>
    <n v="7"/>
    <n v="68"/>
    <n v="476"/>
  </r>
  <r>
    <x v="12"/>
    <n v="2024"/>
    <x v="1"/>
    <x v="1"/>
    <x v="2"/>
    <x v="2"/>
    <x v="3"/>
    <x v="2"/>
    <n v="12"/>
    <n v="114"/>
    <n v="1368"/>
  </r>
  <r>
    <x v="13"/>
    <n v="2024"/>
    <x v="6"/>
    <x v="0"/>
    <x v="4"/>
    <x v="1"/>
    <x v="0"/>
    <x v="0"/>
    <n v="11"/>
    <n v="91"/>
    <n v="1001"/>
  </r>
  <r>
    <x v="14"/>
    <n v="2024"/>
    <x v="6"/>
    <x v="0"/>
    <x v="7"/>
    <x v="1"/>
    <x v="2"/>
    <x v="2"/>
    <n v="11"/>
    <n v="135"/>
    <n v="1485"/>
  </r>
  <r>
    <x v="15"/>
    <n v="2024"/>
    <x v="6"/>
    <x v="0"/>
    <x v="1"/>
    <x v="0"/>
    <x v="1"/>
    <x v="2"/>
    <n v="13"/>
    <n v="136"/>
    <n v="1768"/>
  </r>
  <r>
    <x v="16"/>
    <n v="2024"/>
    <x v="8"/>
    <x v="1"/>
    <x v="5"/>
    <x v="2"/>
    <x v="1"/>
    <x v="0"/>
    <n v="18"/>
    <n v="83"/>
    <n v="1494"/>
  </r>
  <r>
    <x v="17"/>
    <n v="2024"/>
    <x v="2"/>
    <x v="2"/>
    <x v="1"/>
    <x v="2"/>
    <x v="1"/>
    <x v="1"/>
    <n v="2"/>
    <n v="155"/>
    <n v="310"/>
  </r>
  <r>
    <x v="18"/>
    <n v="2024"/>
    <x v="1"/>
    <x v="1"/>
    <x v="5"/>
    <x v="1"/>
    <x v="0"/>
    <x v="4"/>
    <n v="15"/>
    <n v="38"/>
    <n v="570"/>
  </r>
  <r>
    <x v="19"/>
    <n v="2024"/>
    <x v="9"/>
    <x v="1"/>
    <x v="0"/>
    <x v="0"/>
    <x v="3"/>
    <x v="3"/>
    <n v="18"/>
    <n v="117"/>
    <n v="2106"/>
  </r>
  <r>
    <x v="20"/>
    <n v="2024"/>
    <x v="4"/>
    <x v="2"/>
    <x v="2"/>
    <x v="1"/>
    <x v="0"/>
    <x v="2"/>
    <n v="15"/>
    <n v="66"/>
    <n v="990"/>
  </r>
  <r>
    <x v="21"/>
    <n v="2024"/>
    <x v="9"/>
    <x v="1"/>
    <x v="7"/>
    <x v="1"/>
    <x v="1"/>
    <x v="4"/>
    <n v="19"/>
    <n v="78"/>
    <n v="1482"/>
  </r>
  <r>
    <x v="22"/>
    <n v="2024"/>
    <x v="10"/>
    <x v="0"/>
    <x v="4"/>
    <x v="1"/>
    <x v="2"/>
    <x v="1"/>
    <n v="12"/>
    <n v="70"/>
    <n v="840"/>
  </r>
  <r>
    <x v="23"/>
    <n v="2024"/>
    <x v="8"/>
    <x v="1"/>
    <x v="7"/>
    <x v="1"/>
    <x v="4"/>
    <x v="3"/>
    <n v="13"/>
    <n v="46"/>
    <n v="598"/>
  </r>
  <r>
    <x v="24"/>
    <n v="2024"/>
    <x v="5"/>
    <x v="3"/>
    <x v="7"/>
    <x v="3"/>
    <x v="3"/>
    <x v="3"/>
    <n v="11"/>
    <n v="117"/>
    <n v="1287"/>
  </r>
  <r>
    <x v="25"/>
    <n v="2024"/>
    <x v="2"/>
    <x v="2"/>
    <x v="7"/>
    <x v="2"/>
    <x v="3"/>
    <x v="2"/>
    <n v="5"/>
    <n v="50"/>
    <n v="250"/>
  </r>
  <r>
    <x v="26"/>
    <n v="2024"/>
    <x v="7"/>
    <x v="2"/>
    <x v="1"/>
    <x v="1"/>
    <x v="0"/>
    <x v="0"/>
    <n v="1"/>
    <n v="80"/>
    <n v="80"/>
  </r>
  <r>
    <x v="27"/>
    <n v="2024"/>
    <x v="1"/>
    <x v="1"/>
    <x v="5"/>
    <x v="0"/>
    <x v="3"/>
    <x v="1"/>
    <n v="3"/>
    <n v="88"/>
    <n v="264"/>
  </r>
  <r>
    <x v="28"/>
    <n v="2024"/>
    <x v="11"/>
    <x v="3"/>
    <x v="8"/>
    <x v="0"/>
    <x v="1"/>
    <x v="2"/>
    <n v="19"/>
    <n v="196"/>
    <n v="3724"/>
  </r>
  <r>
    <x v="29"/>
    <n v="2024"/>
    <x v="11"/>
    <x v="3"/>
    <x v="0"/>
    <x v="0"/>
    <x v="1"/>
    <x v="1"/>
    <n v="7"/>
    <n v="70"/>
    <n v="490"/>
  </r>
  <r>
    <x v="30"/>
    <n v="2024"/>
    <x v="10"/>
    <x v="0"/>
    <x v="3"/>
    <x v="0"/>
    <x v="0"/>
    <x v="0"/>
    <n v="12"/>
    <n v="68"/>
    <n v="816"/>
  </r>
  <r>
    <x v="31"/>
    <n v="2024"/>
    <x v="4"/>
    <x v="2"/>
    <x v="7"/>
    <x v="1"/>
    <x v="1"/>
    <x v="0"/>
    <n v="15"/>
    <n v="170"/>
    <n v="2550"/>
  </r>
  <r>
    <x v="2"/>
    <n v="2024"/>
    <x v="2"/>
    <x v="2"/>
    <x v="6"/>
    <x v="2"/>
    <x v="2"/>
    <x v="2"/>
    <n v="5"/>
    <n v="40"/>
    <n v="200"/>
  </r>
  <r>
    <x v="32"/>
    <n v="2024"/>
    <x v="4"/>
    <x v="2"/>
    <x v="1"/>
    <x v="0"/>
    <x v="0"/>
    <x v="0"/>
    <n v="15"/>
    <n v="176"/>
    <n v="2640"/>
  </r>
  <r>
    <x v="33"/>
    <n v="2024"/>
    <x v="10"/>
    <x v="0"/>
    <x v="4"/>
    <x v="1"/>
    <x v="2"/>
    <x v="4"/>
    <n v="8"/>
    <n v="168"/>
    <n v="1344"/>
  </r>
  <r>
    <x v="34"/>
    <n v="2024"/>
    <x v="11"/>
    <x v="3"/>
    <x v="3"/>
    <x v="0"/>
    <x v="4"/>
    <x v="3"/>
    <n v="10"/>
    <n v="106"/>
    <n v="1060"/>
  </r>
  <r>
    <x v="35"/>
    <n v="2024"/>
    <x v="1"/>
    <x v="1"/>
    <x v="8"/>
    <x v="0"/>
    <x v="2"/>
    <x v="2"/>
    <n v="16"/>
    <n v="156"/>
    <n v="2496"/>
  </r>
  <r>
    <x v="36"/>
    <n v="2024"/>
    <x v="11"/>
    <x v="3"/>
    <x v="6"/>
    <x v="1"/>
    <x v="4"/>
    <x v="1"/>
    <n v="8"/>
    <n v="75"/>
    <n v="600"/>
  </r>
  <r>
    <x v="37"/>
    <n v="2024"/>
    <x v="7"/>
    <x v="2"/>
    <x v="8"/>
    <x v="2"/>
    <x v="4"/>
    <x v="4"/>
    <n v="1"/>
    <n v="74"/>
    <n v="74"/>
  </r>
  <r>
    <x v="38"/>
    <n v="2024"/>
    <x v="8"/>
    <x v="1"/>
    <x v="3"/>
    <x v="2"/>
    <x v="2"/>
    <x v="2"/>
    <n v="12"/>
    <n v="30"/>
    <n v="360"/>
  </r>
  <r>
    <x v="14"/>
    <n v="2024"/>
    <x v="6"/>
    <x v="0"/>
    <x v="7"/>
    <x v="1"/>
    <x v="0"/>
    <x v="0"/>
    <n v="5"/>
    <n v="197"/>
    <n v="985"/>
  </r>
  <r>
    <x v="39"/>
    <n v="2024"/>
    <x v="8"/>
    <x v="1"/>
    <x v="6"/>
    <x v="2"/>
    <x v="1"/>
    <x v="0"/>
    <n v="3"/>
    <n v="137"/>
    <n v="411"/>
  </r>
  <r>
    <x v="40"/>
    <n v="2024"/>
    <x v="6"/>
    <x v="0"/>
    <x v="8"/>
    <x v="1"/>
    <x v="1"/>
    <x v="0"/>
    <n v="1"/>
    <n v="48"/>
    <n v="48"/>
  </r>
  <r>
    <x v="6"/>
    <n v="2024"/>
    <x v="5"/>
    <x v="3"/>
    <x v="4"/>
    <x v="1"/>
    <x v="4"/>
    <x v="0"/>
    <n v="4"/>
    <n v="105"/>
    <n v="420"/>
  </r>
  <r>
    <x v="41"/>
    <n v="2024"/>
    <x v="8"/>
    <x v="1"/>
    <x v="5"/>
    <x v="1"/>
    <x v="4"/>
    <x v="1"/>
    <n v="8"/>
    <n v="101"/>
    <n v="808"/>
  </r>
  <r>
    <x v="42"/>
    <n v="2024"/>
    <x v="10"/>
    <x v="0"/>
    <x v="2"/>
    <x v="2"/>
    <x v="0"/>
    <x v="4"/>
    <n v="3"/>
    <n v="138"/>
    <n v="414"/>
  </r>
  <r>
    <x v="43"/>
    <n v="2024"/>
    <x v="2"/>
    <x v="2"/>
    <x v="5"/>
    <x v="1"/>
    <x v="3"/>
    <x v="3"/>
    <n v="10"/>
    <n v="41"/>
    <n v="410"/>
  </r>
  <r>
    <x v="44"/>
    <n v="2024"/>
    <x v="3"/>
    <x v="3"/>
    <x v="3"/>
    <x v="0"/>
    <x v="2"/>
    <x v="1"/>
    <n v="2"/>
    <n v="190"/>
    <n v="380"/>
  </r>
  <r>
    <x v="45"/>
    <n v="2024"/>
    <x v="8"/>
    <x v="1"/>
    <x v="1"/>
    <x v="2"/>
    <x v="4"/>
    <x v="1"/>
    <n v="11"/>
    <n v="74"/>
    <n v="814"/>
  </r>
  <r>
    <x v="46"/>
    <n v="2024"/>
    <x v="5"/>
    <x v="3"/>
    <x v="2"/>
    <x v="2"/>
    <x v="1"/>
    <x v="3"/>
    <n v="10"/>
    <n v="119"/>
    <n v="-999"/>
  </r>
  <r>
    <x v="47"/>
    <n v="2024"/>
    <x v="7"/>
    <x v="2"/>
    <x v="0"/>
    <x v="2"/>
    <x v="0"/>
    <x v="3"/>
    <n v="14"/>
    <n v="132"/>
    <n v="1848"/>
  </r>
  <r>
    <x v="48"/>
    <n v="2024"/>
    <x v="2"/>
    <x v="2"/>
    <x v="4"/>
    <x v="2"/>
    <x v="2"/>
    <x v="0"/>
    <n v="7"/>
    <n v="37"/>
    <n v="259"/>
  </r>
  <r>
    <x v="49"/>
    <n v="2024"/>
    <x v="1"/>
    <x v="1"/>
    <x v="0"/>
    <x v="0"/>
    <x v="0"/>
    <x v="1"/>
    <n v="2"/>
    <n v="182"/>
    <n v="364"/>
  </r>
  <r>
    <x v="50"/>
    <n v="2024"/>
    <x v="11"/>
    <x v="3"/>
    <x v="6"/>
    <x v="2"/>
    <x v="2"/>
    <x v="2"/>
    <n v="9"/>
    <n v="120"/>
    <n v="1080"/>
  </r>
  <r>
    <x v="51"/>
    <n v="2024"/>
    <x v="1"/>
    <x v="1"/>
    <x v="2"/>
    <x v="2"/>
    <x v="2"/>
    <x v="3"/>
    <n v="16"/>
    <n v="116"/>
    <n v="1856"/>
  </r>
  <r>
    <x v="52"/>
    <n v="2024"/>
    <x v="0"/>
    <x v="0"/>
    <x v="0"/>
    <x v="1"/>
    <x v="4"/>
    <x v="3"/>
    <n v="13"/>
    <n v="187"/>
    <n v="2431"/>
  </r>
  <r>
    <x v="53"/>
    <n v="2024"/>
    <x v="2"/>
    <x v="2"/>
    <x v="0"/>
    <x v="2"/>
    <x v="0"/>
    <x v="4"/>
    <n v="9"/>
    <n v="113"/>
    <n v="1017"/>
  </r>
  <r>
    <x v="54"/>
    <n v="2024"/>
    <x v="11"/>
    <x v="3"/>
    <x v="8"/>
    <x v="0"/>
    <x v="0"/>
    <x v="2"/>
    <n v="4"/>
    <n v="111"/>
    <n v="444"/>
  </r>
  <r>
    <x v="55"/>
    <n v="2024"/>
    <x v="4"/>
    <x v="2"/>
    <x v="5"/>
    <x v="0"/>
    <x v="1"/>
    <x v="2"/>
    <n v="10"/>
    <n v="175"/>
    <n v="1750"/>
  </r>
  <r>
    <x v="56"/>
    <n v="2024"/>
    <x v="3"/>
    <x v="3"/>
    <x v="8"/>
    <x v="0"/>
    <x v="1"/>
    <x v="3"/>
    <n v="12"/>
    <n v="97"/>
    <n v="1164"/>
  </r>
  <r>
    <x v="57"/>
    <n v="2024"/>
    <x v="11"/>
    <x v="3"/>
    <x v="2"/>
    <x v="0"/>
    <x v="4"/>
    <x v="0"/>
    <n v="17"/>
    <n v="190"/>
    <n v="3230"/>
  </r>
  <r>
    <x v="12"/>
    <n v="2024"/>
    <x v="1"/>
    <x v="1"/>
    <x v="2"/>
    <x v="2"/>
    <x v="4"/>
    <x v="4"/>
    <n v="14"/>
    <n v="156"/>
    <n v="2184"/>
  </r>
  <r>
    <x v="58"/>
    <n v="2024"/>
    <x v="5"/>
    <x v="3"/>
    <x v="3"/>
    <x v="2"/>
    <x v="3"/>
    <x v="2"/>
    <n v="14"/>
    <n v="193"/>
    <n v="2702"/>
  </r>
  <r>
    <x v="59"/>
    <n v="2024"/>
    <x v="11"/>
    <x v="3"/>
    <x v="8"/>
    <x v="0"/>
    <x v="1"/>
    <x v="3"/>
    <n v="2"/>
    <n v="111"/>
    <n v="222"/>
  </r>
  <r>
    <x v="60"/>
    <n v="2024"/>
    <x v="0"/>
    <x v="0"/>
    <x v="9"/>
    <x v="0"/>
    <x v="2"/>
    <x v="2"/>
    <n v="11"/>
    <n v="176"/>
    <n v="1936"/>
  </r>
  <r>
    <x v="61"/>
    <n v="2024"/>
    <x v="2"/>
    <x v="2"/>
    <x v="5"/>
    <x v="2"/>
    <x v="0"/>
    <x v="4"/>
    <n v="16"/>
    <n v="185"/>
    <n v="2960"/>
  </r>
  <r>
    <x v="62"/>
    <n v="2024"/>
    <x v="8"/>
    <x v="1"/>
    <x v="2"/>
    <x v="0"/>
    <x v="4"/>
    <x v="4"/>
    <n v="19"/>
    <n v="197"/>
    <n v="3743"/>
  </r>
  <r>
    <x v="63"/>
    <n v="2024"/>
    <x v="4"/>
    <x v="2"/>
    <x v="3"/>
    <x v="1"/>
    <x v="0"/>
    <x v="1"/>
    <n v="6"/>
    <n v="113"/>
    <n v="678"/>
  </r>
  <r>
    <x v="64"/>
    <n v="2024"/>
    <x v="7"/>
    <x v="2"/>
    <x v="8"/>
    <x v="0"/>
    <x v="0"/>
    <x v="3"/>
    <n v="19"/>
    <n v="142"/>
    <n v="2698"/>
  </r>
  <r>
    <x v="65"/>
    <n v="2024"/>
    <x v="11"/>
    <x v="3"/>
    <x v="5"/>
    <x v="0"/>
    <x v="3"/>
    <x v="4"/>
    <n v="5"/>
    <n v="105"/>
    <n v="525"/>
  </r>
  <r>
    <x v="66"/>
    <n v="2024"/>
    <x v="10"/>
    <x v="0"/>
    <x v="8"/>
    <x v="1"/>
    <x v="1"/>
    <x v="1"/>
    <n v="4"/>
    <n v="151"/>
    <n v="604"/>
  </r>
  <r>
    <x v="67"/>
    <n v="2024"/>
    <x v="4"/>
    <x v="2"/>
    <x v="0"/>
    <x v="1"/>
    <x v="4"/>
    <x v="1"/>
    <n v="15"/>
    <n v="172"/>
    <n v="2580"/>
  </r>
  <r>
    <x v="68"/>
    <n v="2024"/>
    <x v="2"/>
    <x v="2"/>
    <x v="3"/>
    <x v="2"/>
    <x v="0"/>
    <x v="2"/>
    <n v="4"/>
    <n v="70"/>
    <n v="280"/>
  </r>
  <r>
    <x v="69"/>
    <n v="2024"/>
    <x v="1"/>
    <x v="1"/>
    <x v="5"/>
    <x v="2"/>
    <x v="4"/>
    <x v="2"/>
    <n v="10"/>
    <n v="196"/>
    <n v="1960"/>
  </r>
  <r>
    <x v="70"/>
    <n v="2024"/>
    <x v="9"/>
    <x v="1"/>
    <x v="7"/>
    <x v="1"/>
    <x v="2"/>
    <x v="1"/>
    <n v="3"/>
    <n v="31"/>
    <n v="93"/>
  </r>
  <r>
    <x v="2"/>
    <n v="2024"/>
    <x v="2"/>
    <x v="2"/>
    <x v="6"/>
    <x v="1"/>
    <x v="3"/>
    <x v="2"/>
    <n v="5"/>
    <n v="58"/>
    <n v="290"/>
  </r>
  <r>
    <x v="8"/>
    <n v="2024"/>
    <x v="7"/>
    <x v="2"/>
    <x v="6"/>
    <x v="2"/>
    <x v="2"/>
    <x v="4"/>
    <n v="6"/>
    <n v="134"/>
    <n v="804"/>
  </r>
  <r>
    <x v="71"/>
    <n v="2024"/>
    <x v="2"/>
    <x v="2"/>
    <x v="5"/>
    <x v="0"/>
    <x v="4"/>
    <x v="0"/>
    <n v="8"/>
    <n v="80"/>
    <n v="640"/>
  </r>
  <r>
    <x v="32"/>
    <n v="2024"/>
    <x v="4"/>
    <x v="2"/>
    <x v="8"/>
    <x v="1"/>
    <x v="4"/>
    <x v="4"/>
    <n v="7"/>
    <n v="104"/>
    <n v="728"/>
  </r>
  <r>
    <x v="72"/>
    <n v="2024"/>
    <x v="9"/>
    <x v="1"/>
    <x v="3"/>
    <x v="2"/>
    <x v="1"/>
    <x v="1"/>
    <n v="10"/>
    <n v="39"/>
    <n v="390"/>
  </r>
  <r>
    <x v="73"/>
    <n v="2024"/>
    <x v="4"/>
    <x v="2"/>
    <x v="6"/>
    <x v="0"/>
    <x v="0"/>
    <x v="1"/>
    <n v="6"/>
    <n v="171"/>
    <n v="1026"/>
  </r>
  <r>
    <x v="74"/>
    <n v="2024"/>
    <x v="4"/>
    <x v="2"/>
    <x v="3"/>
    <x v="1"/>
    <x v="0"/>
    <x v="4"/>
    <n v="14"/>
    <n v="80"/>
    <n v="1120"/>
  </r>
  <r>
    <x v="75"/>
    <n v="2024"/>
    <x v="7"/>
    <x v="2"/>
    <x v="6"/>
    <x v="0"/>
    <x v="2"/>
    <x v="2"/>
    <n v="4"/>
    <n v="147"/>
    <n v="588"/>
  </r>
  <r>
    <x v="76"/>
    <n v="2024"/>
    <x v="1"/>
    <x v="1"/>
    <x v="0"/>
    <x v="2"/>
    <x v="3"/>
    <x v="2"/>
    <n v="13"/>
    <n v="150"/>
    <n v="1950"/>
  </r>
  <r>
    <x v="50"/>
    <n v="2024"/>
    <x v="11"/>
    <x v="3"/>
    <x v="8"/>
    <x v="1"/>
    <x v="0"/>
    <x v="1"/>
    <n v="17"/>
    <n v="68"/>
    <n v="1156"/>
  </r>
  <r>
    <x v="77"/>
    <n v="2024"/>
    <x v="9"/>
    <x v="1"/>
    <x v="0"/>
    <x v="0"/>
    <x v="1"/>
    <x v="3"/>
    <n v="7"/>
    <n v="57"/>
    <n v="399"/>
  </r>
  <r>
    <x v="78"/>
    <n v="2024"/>
    <x v="7"/>
    <x v="2"/>
    <x v="6"/>
    <x v="1"/>
    <x v="2"/>
    <x v="2"/>
    <n v="4"/>
    <n v="32"/>
    <n v="128"/>
  </r>
  <r>
    <x v="71"/>
    <n v="2024"/>
    <x v="2"/>
    <x v="2"/>
    <x v="7"/>
    <x v="0"/>
    <x v="2"/>
    <x v="4"/>
    <n v="14"/>
    <n v="113"/>
    <n v="1582"/>
  </r>
  <r>
    <x v="31"/>
    <n v="2024"/>
    <x v="4"/>
    <x v="2"/>
    <x v="7"/>
    <x v="2"/>
    <x v="1"/>
    <x v="2"/>
    <n v="3"/>
    <n v="184"/>
    <n v="552"/>
  </r>
  <r>
    <x v="79"/>
    <n v="2024"/>
    <x v="11"/>
    <x v="3"/>
    <x v="0"/>
    <x v="2"/>
    <x v="3"/>
    <x v="4"/>
    <n v="5"/>
    <n v="146"/>
    <n v="730"/>
  </r>
  <r>
    <x v="80"/>
    <n v="2024"/>
    <x v="10"/>
    <x v="0"/>
    <x v="7"/>
    <x v="1"/>
    <x v="1"/>
    <x v="1"/>
    <n v="16"/>
    <n v="31"/>
    <n v="496"/>
  </r>
  <r>
    <x v="81"/>
    <n v="2024"/>
    <x v="5"/>
    <x v="3"/>
    <x v="6"/>
    <x v="0"/>
    <x v="3"/>
    <x v="2"/>
    <n v="4"/>
    <n v="122"/>
    <n v="488"/>
  </r>
  <r>
    <x v="82"/>
    <n v="2024"/>
    <x v="9"/>
    <x v="1"/>
    <x v="5"/>
    <x v="1"/>
    <x v="1"/>
    <x v="4"/>
    <n v="2"/>
    <n v="195"/>
    <n v="390"/>
  </r>
  <r>
    <x v="83"/>
    <n v="2024"/>
    <x v="3"/>
    <x v="3"/>
    <x v="0"/>
    <x v="1"/>
    <x v="1"/>
    <x v="1"/>
    <n v="18"/>
    <n v="160"/>
    <n v="2880"/>
  </r>
  <r>
    <x v="27"/>
    <n v="2024"/>
    <x v="1"/>
    <x v="1"/>
    <x v="1"/>
    <x v="0"/>
    <x v="4"/>
    <x v="3"/>
    <n v="19"/>
    <n v="173"/>
    <n v="3287"/>
  </r>
  <r>
    <x v="84"/>
    <n v="2024"/>
    <x v="8"/>
    <x v="1"/>
    <x v="8"/>
    <x v="0"/>
    <x v="2"/>
    <x v="4"/>
    <n v="19"/>
    <n v="123"/>
    <n v="2337"/>
  </r>
  <r>
    <x v="85"/>
    <n v="2024"/>
    <x v="5"/>
    <x v="3"/>
    <x v="7"/>
    <x v="0"/>
    <x v="1"/>
    <x v="3"/>
    <n v="17"/>
    <n v="69"/>
    <n v="1173"/>
  </r>
  <r>
    <x v="18"/>
    <n v="2024"/>
    <x v="1"/>
    <x v="1"/>
    <x v="7"/>
    <x v="2"/>
    <x v="1"/>
    <x v="3"/>
    <n v="14"/>
    <n v="31"/>
    <n v="434"/>
  </r>
  <r>
    <x v="86"/>
    <n v="2024"/>
    <x v="6"/>
    <x v="0"/>
    <x v="2"/>
    <x v="1"/>
    <x v="0"/>
    <x v="0"/>
    <n v="19"/>
    <n v="110"/>
    <n v="2090"/>
  </r>
  <r>
    <x v="87"/>
    <n v="2024"/>
    <x v="6"/>
    <x v="0"/>
    <x v="9"/>
    <x v="1"/>
    <x v="2"/>
    <x v="2"/>
    <n v="13"/>
    <n v="198"/>
    <n v="2574"/>
  </r>
  <r>
    <x v="88"/>
    <n v="2024"/>
    <x v="3"/>
    <x v="3"/>
    <x v="0"/>
    <x v="2"/>
    <x v="0"/>
    <x v="4"/>
    <n v="12"/>
    <n v="41"/>
    <n v="492"/>
  </r>
  <r>
    <x v="89"/>
    <n v="2024"/>
    <x v="6"/>
    <x v="0"/>
    <x v="4"/>
    <x v="0"/>
    <x v="2"/>
    <x v="3"/>
    <n v="6"/>
    <n v="192"/>
    <n v="1152"/>
  </r>
  <r>
    <x v="56"/>
    <n v="2024"/>
    <x v="3"/>
    <x v="3"/>
    <x v="7"/>
    <x v="2"/>
    <x v="0"/>
    <x v="0"/>
    <n v="4"/>
    <n v="94"/>
    <n v="376"/>
  </r>
  <r>
    <x v="90"/>
    <n v="2024"/>
    <x v="10"/>
    <x v="0"/>
    <x v="8"/>
    <x v="2"/>
    <x v="1"/>
    <x v="1"/>
    <n v="19"/>
    <n v="84"/>
    <n v="1596"/>
  </r>
  <r>
    <x v="91"/>
    <n v="2024"/>
    <x v="9"/>
    <x v="1"/>
    <x v="1"/>
    <x v="2"/>
    <x v="1"/>
    <x v="4"/>
    <n v="16"/>
    <n v="74"/>
    <n v="1184"/>
  </r>
  <r>
    <x v="92"/>
    <n v="2024"/>
    <x v="2"/>
    <x v="2"/>
    <x v="7"/>
    <x v="1"/>
    <x v="4"/>
    <x v="3"/>
    <n v="13"/>
    <n v="130"/>
    <n v="1690"/>
  </r>
  <r>
    <x v="93"/>
    <n v="2024"/>
    <x v="7"/>
    <x v="2"/>
    <x v="1"/>
    <x v="2"/>
    <x v="0"/>
    <x v="2"/>
    <n v="4"/>
    <n v="91"/>
    <n v="364"/>
  </r>
  <r>
    <x v="79"/>
    <n v="2024"/>
    <x v="11"/>
    <x v="3"/>
    <x v="6"/>
    <x v="1"/>
    <x v="3"/>
    <x v="0"/>
    <n v="17"/>
    <n v="78"/>
    <n v="1326"/>
  </r>
  <r>
    <x v="94"/>
    <n v="2024"/>
    <x v="5"/>
    <x v="3"/>
    <x v="6"/>
    <x v="1"/>
    <x v="4"/>
    <x v="3"/>
    <n v="1"/>
    <n v="156"/>
    <n v="156"/>
  </r>
  <r>
    <x v="40"/>
    <n v="2024"/>
    <x v="6"/>
    <x v="0"/>
    <x v="9"/>
    <x v="1"/>
    <x v="0"/>
    <x v="2"/>
    <n v="18"/>
    <n v="182"/>
    <n v="3276"/>
  </r>
  <r>
    <x v="95"/>
    <n v="2024"/>
    <x v="4"/>
    <x v="2"/>
    <x v="5"/>
    <x v="0"/>
    <x v="0"/>
    <x v="3"/>
    <n v="17"/>
    <n v="52"/>
    <n v="884"/>
  </r>
  <r>
    <x v="96"/>
    <n v="2024"/>
    <x v="8"/>
    <x v="1"/>
    <x v="4"/>
    <x v="1"/>
    <x v="4"/>
    <x v="4"/>
    <n v="15"/>
    <n v="181"/>
    <n v="2715"/>
  </r>
  <r>
    <x v="97"/>
    <n v="2024"/>
    <x v="2"/>
    <x v="2"/>
    <x v="2"/>
    <x v="1"/>
    <x v="1"/>
    <x v="4"/>
    <n v="11"/>
    <n v="67"/>
    <n v="737"/>
  </r>
  <r>
    <x v="98"/>
    <n v="2024"/>
    <x v="11"/>
    <x v="3"/>
    <x v="9"/>
    <x v="0"/>
    <x v="0"/>
    <x v="4"/>
    <n v="13"/>
    <n v="57"/>
    <n v="741"/>
  </r>
  <r>
    <x v="99"/>
    <n v="2024"/>
    <x v="11"/>
    <x v="3"/>
    <x v="3"/>
    <x v="1"/>
    <x v="1"/>
    <x v="0"/>
    <n v="1"/>
    <n v="50"/>
    <n v="50"/>
  </r>
  <r>
    <x v="100"/>
    <n v="2024"/>
    <x v="3"/>
    <x v="3"/>
    <x v="2"/>
    <x v="2"/>
    <x v="4"/>
    <x v="4"/>
    <n v="17"/>
    <n v="136"/>
    <n v="2312"/>
  </r>
  <r>
    <x v="101"/>
    <n v="2024"/>
    <x v="7"/>
    <x v="2"/>
    <x v="0"/>
    <x v="2"/>
    <x v="1"/>
    <x v="2"/>
    <n v="6"/>
    <n v="175"/>
    <n v="1050"/>
  </r>
  <r>
    <x v="102"/>
    <n v="2024"/>
    <x v="9"/>
    <x v="1"/>
    <x v="8"/>
    <x v="1"/>
    <x v="2"/>
    <x v="3"/>
    <n v="4"/>
    <n v="193"/>
    <n v="772"/>
  </r>
  <r>
    <x v="103"/>
    <n v="2024"/>
    <x v="0"/>
    <x v="0"/>
    <x v="3"/>
    <x v="0"/>
    <x v="3"/>
    <x v="1"/>
    <n v="16"/>
    <n v="128"/>
    <n v="2048"/>
  </r>
  <r>
    <x v="104"/>
    <n v="2024"/>
    <x v="10"/>
    <x v="0"/>
    <x v="3"/>
    <x v="2"/>
    <x v="0"/>
    <x v="2"/>
    <n v="15"/>
    <n v="148"/>
    <n v="2220"/>
  </r>
  <r>
    <x v="12"/>
    <n v="2024"/>
    <x v="1"/>
    <x v="1"/>
    <x v="9"/>
    <x v="0"/>
    <x v="3"/>
    <x v="2"/>
    <n v="15"/>
    <n v="102"/>
    <n v="1530"/>
  </r>
  <r>
    <x v="105"/>
    <n v="2024"/>
    <x v="7"/>
    <x v="2"/>
    <x v="5"/>
    <x v="0"/>
    <x v="1"/>
    <x v="4"/>
    <n v="6"/>
    <n v="151"/>
    <n v="906"/>
  </r>
  <r>
    <x v="54"/>
    <n v="2024"/>
    <x v="11"/>
    <x v="3"/>
    <x v="9"/>
    <x v="2"/>
    <x v="0"/>
    <x v="0"/>
    <n v="15"/>
    <n v="59"/>
    <n v="885"/>
  </r>
  <r>
    <x v="106"/>
    <n v="2024"/>
    <x v="7"/>
    <x v="2"/>
    <x v="0"/>
    <x v="0"/>
    <x v="1"/>
    <x v="3"/>
    <n v="14"/>
    <n v="137"/>
    <n v="1918"/>
  </r>
  <r>
    <x v="107"/>
    <n v="2024"/>
    <x v="0"/>
    <x v="0"/>
    <x v="7"/>
    <x v="2"/>
    <x v="2"/>
    <x v="0"/>
    <n v="11"/>
    <n v="127"/>
    <n v="1397"/>
  </r>
  <r>
    <x v="14"/>
    <n v="2024"/>
    <x v="6"/>
    <x v="0"/>
    <x v="7"/>
    <x v="0"/>
    <x v="4"/>
    <x v="3"/>
    <n v="7"/>
    <n v="61"/>
    <n v="427"/>
  </r>
  <r>
    <x v="108"/>
    <n v="2024"/>
    <x v="2"/>
    <x v="2"/>
    <x v="5"/>
    <x v="2"/>
    <x v="0"/>
    <x v="3"/>
    <n v="9"/>
    <n v="185"/>
    <n v="1665"/>
  </r>
  <r>
    <x v="109"/>
    <n v="2024"/>
    <x v="5"/>
    <x v="3"/>
    <x v="0"/>
    <x v="1"/>
    <x v="2"/>
    <x v="0"/>
    <n v="16"/>
    <n v="108"/>
    <n v="1728"/>
  </r>
  <r>
    <x v="64"/>
    <n v="2024"/>
    <x v="7"/>
    <x v="2"/>
    <x v="5"/>
    <x v="2"/>
    <x v="2"/>
    <x v="2"/>
    <n v="5"/>
    <n v="70"/>
    <n v="350"/>
  </r>
  <r>
    <x v="110"/>
    <n v="2024"/>
    <x v="2"/>
    <x v="2"/>
    <x v="1"/>
    <x v="2"/>
    <x v="0"/>
    <x v="3"/>
    <n v="10"/>
    <n v="92"/>
    <n v="920"/>
  </r>
  <r>
    <x v="111"/>
    <n v="2024"/>
    <x v="1"/>
    <x v="1"/>
    <x v="7"/>
    <x v="2"/>
    <x v="1"/>
    <x v="0"/>
    <n v="18"/>
    <n v="52"/>
    <n v="936"/>
  </r>
  <r>
    <x v="112"/>
    <n v="2024"/>
    <x v="9"/>
    <x v="1"/>
    <x v="3"/>
    <x v="2"/>
    <x v="2"/>
    <x v="3"/>
    <n v="3"/>
    <n v="133"/>
    <n v="399"/>
  </r>
  <r>
    <x v="113"/>
    <n v="2024"/>
    <x v="4"/>
    <x v="2"/>
    <x v="4"/>
    <x v="0"/>
    <x v="3"/>
    <x v="1"/>
    <n v="13"/>
    <n v="104"/>
    <n v="1352"/>
  </r>
  <r>
    <x v="81"/>
    <n v="2024"/>
    <x v="5"/>
    <x v="3"/>
    <x v="8"/>
    <x v="1"/>
    <x v="2"/>
    <x v="2"/>
    <n v="11"/>
    <n v="77"/>
    <n v="847"/>
  </r>
  <r>
    <x v="49"/>
    <n v="2024"/>
    <x v="1"/>
    <x v="1"/>
    <x v="0"/>
    <x v="2"/>
    <x v="1"/>
    <x v="4"/>
    <n v="17"/>
    <n v="189"/>
    <n v="3213"/>
  </r>
  <r>
    <x v="114"/>
    <n v="2024"/>
    <x v="11"/>
    <x v="3"/>
    <x v="2"/>
    <x v="0"/>
    <x v="1"/>
    <x v="3"/>
    <n v="13"/>
    <n v="86"/>
    <n v="1118"/>
  </r>
  <r>
    <x v="115"/>
    <n v="2024"/>
    <x v="10"/>
    <x v="0"/>
    <x v="5"/>
    <x v="1"/>
    <x v="3"/>
    <x v="1"/>
    <n v="6"/>
    <n v="147"/>
    <n v="882"/>
  </r>
  <r>
    <x v="88"/>
    <n v="2024"/>
    <x v="3"/>
    <x v="3"/>
    <x v="8"/>
    <x v="1"/>
    <x v="2"/>
    <x v="4"/>
    <n v="17"/>
    <n v="129"/>
    <n v="2193"/>
  </r>
  <r>
    <x v="116"/>
    <n v="2024"/>
    <x v="1"/>
    <x v="1"/>
    <x v="2"/>
    <x v="1"/>
    <x v="1"/>
    <x v="4"/>
    <n v="13"/>
    <n v="153"/>
    <n v="1989"/>
  </r>
  <r>
    <x v="93"/>
    <n v="2024"/>
    <x v="7"/>
    <x v="2"/>
    <x v="8"/>
    <x v="1"/>
    <x v="0"/>
    <x v="3"/>
    <n v="19"/>
    <n v="190"/>
    <n v="3610"/>
  </r>
  <r>
    <x v="117"/>
    <n v="2024"/>
    <x v="7"/>
    <x v="2"/>
    <x v="4"/>
    <x v="2"/>
    <x v="4"/>
    <x v="0"/>
    <n v="19"/>
    <n v="181"/>
    <n v="3439"/>
  </r>
  <r>
    <x v="118"/>
    <n v="2024"/>
    <x v="11"/>
    <x v="3"/>
    <x v="2"/>
    <x v="2"/>
    <x v="4"/>
    <x v="3"/>
    <n v="10"/>
    <n v="196"/>
    <n v="1960"/>
  </r>
  <r>
    <x v="119"/>
    <n v="2024"/>
    <x v="0"/>
    <x v="0"/>
    <x v="9"/>
    <x v="0"/>
    <x v="4"/>
    <x v="1"/>
    <n v="3"/>
    <n v="63"/>
    <n v="189"/>
  </r>
  <r>
    <x v="120"/>
    <n v="2024"/>
    <x v="7"/>
    <x v="2"/>
    <x v="6"/>
    <x v="0"/>
    <x v="2"/>
    <x v="4"/>
    <n v="14"/>
    <n v="185"/>
    <n v="2590"/>
  </r>
  <r>
    <x v="93"/>
    <n v="2024"/>
    <x v="7"/>
    <x v="2"/>
    <x v="9"/>
    <x v="0"/>
    <x v="3"/>
    <x v="3"/>
    <n v="19"/>
    <n v="194"/>
    <n v="3686"/>
  </r>
  <r>
    <x v="75"/>
    <n v="2024"/>
    <x v="7"/>
    <x v="2"/>
    <x v="7"/>
    <x v="1"/>
    <x v="1"/>
    <x v="0"/>
    <n v="5"/>
    <n v="36"/>
    <n v="180"/>
  </r>
  <r>
    <x v="121"/>
    <n v="2024"/>
    <x v="6"/>
    <x v="0"/>
    <x v="6"/>
    <x v="1"/>
    <x v="0"/>
    <x v="3"/>
    <n v="5"/>
    <n v="194"/>
    <n v="970"/>
  </r>
  <r>
    <x v="122"/>
    <n v="2024"/>
    <x v="10"/>
    <x v="0"/>
    <x v="9"/>
    <x v="2"/>
    <x v="0"/>
    <x v="2"/>
    <n v="17"/>
    <n v="85"/>
    <n v="1445"/>
  </r>
  <r>
    <x v="123"/>
    <n v="2024"/>
    <x v="5"/>
    <x v="3"/>
    <x v="6"/>
    <x v="1"/>
    <x v="2"/>
    <x v="0"/>
    <n v="10"/>
    <n v="94"/>
    <n v="940"/>
  </r>
  <r>
    <x v="124"/>
    <n v="2024"/>
    <x v="11"/>
    <x v="3"/>
    <x v="6"/>
    <x v="1"/>
    <x v="4"/>
    <x v="1"/>
    <n v="5"/>
    <n v="76"/>
    <n v="380"/>
  </r>
  <r>
    <x v="125"/>
    <n v="2024"/>
    <x v="5"/>
    <x v="3"/>
    <x v="3"/>
    <x v="1"/>
    <x v="2"/>
    <x v="4"/>
    <n v="4"/>
    <n v="177"/>
    <n v="708"/>
  </r>
  <r>
    <x v="126"/>
    <n v="2024"/>
    <x v="10"/>
    <x v="0"/>
    <x v="5"/>
    <x v="0"/>
    <x v="3"/>
    <x v="3"/>
    <n v="6"/>
    <n v="48"/>
    <n v="288"/>
  </r>
  <r>
    <x v="84"/>
    <n v="2024"/>
    <x v="8"/>
    <x v="1"/>
    <x v="5"/>
    <x v="0"/>
    <x v="3"/>
    <x v="0"/>
    <n v="4"/>
    <n v="186"/>
    <n v="744"/>
  </r>
  <r>
    <x v="127"/>
    <n v="2024"/>
    <x v="4"/>
    <x v="2"/>
    <x v="3"/>
    <x v="2"/>
    <x v="1"/>
    <x v="2"/>
    <n v="7"/>
    <n v="175"/>
    <n v="1225"/>
  </r>
  <r>
    <x v="128"/>
    <n v="2024"/>
    <x v="7"/>
    <x v="2"/>
    <x v="8"/>
    <x v="1"/>
    <x v="1"/>
    <x v="0"/>
    <n v="7"/>
    <n v="192"/>
    <n v="1344"/>
  </r>
  <r>
    <x v="129"/>
    <n v="2024"/>
    <x v="3"/>
    <x v="3"/>
    <x v="1"/>
    <x v="1"/>
    <x v="3"/>
    <x v="2"/>
    <n v="18"/>
    <n v="155"/>
    <n v="2790"/>
  </r>
  <r>
    <x v="130"/>
    <n v="2024"/>
    <x v="9"/>
    <x v="1"/>
    <x v="8"/>
    <x v="2"/>
    <x v="3"/>
    <x v="1"/>
    <n v="3"/>
    <n v="168"/>
    <n v="504"/>
  </r>
  <r>
    <x v="131"/>
    <n v="2024"/>
    <x v="3"/>
    <x v="3"/>
    <x v="2"/>
    <x v="1"/>
    <x v="3"/>
    <x v="4"/>
    <n v="1"/>
    <n v="78"/>
    <n v="78"/>
  </r>
  <r>
    <x v="30"/>
    <n v="2024"/>
    <x v="10"/>
    <x v="0"/>
    <x v="2"/>
    <x v="1"/>
    <x v="2"/>
    <x v="1"/>
    <n v="4"/>
    <n v="142"/>
    <n v="568"/>
  </r>
  <r>
    <x v="132"/>
    <n v="2024"/>
    <x v="11"/>
    <x v="3"/>
    <x v="6"/>
    <x v="0"/>
    <x v="3"/>
    <x v="3"/>
    <n v="6"/>
    <n v="67"/>
    <n v="402"/>
  </r>
  <r>
    <x v="100"/>
    <n v="2024"/>
    <x v="3"/>
    <x v="3"/>
    <x v="9"/>
    <x v="2"/>
    <x v="0"/>
    <x v="0"/>
    <n v="9"/>
    <n v="93"/>
    <n v="837"/>
  </r>
  <r>
    <x v="133"/>
    <n v="2024"/>
    <x v="6"/>
    <x v="0"/>
    <x v="9"/>
    <x v="2"/>
    <x v="4"/>
    <x v="2"/>
    <n v="14"/>
    <n v="98"/>
    <n v="1372"/>
  </r>
  <r>
    <x v="130"/>
    <n v="2024"/>
    <x v="9"/>
    <x v="1"/>
    <x v="5"/>
    <x v="2"/>
    <x v="3"/>
    <x v="2"/>
    <n v="12"/>
    <n v="165"/>
    <n v="1980"/>
  </r>
  <r>
    <x v="94"/>
    <n v="2024"/>
    <x v="5"/>
    <x v="3"/>
    <x v="0"/>
    <x v="2"/>
    <x v="4"/>
    <x v="0"/>
    <n v="4"/>
    <n v="191"/>
    <n v="764"/>
  </r>
  <r>
    <x v="134"/>
    <n v="2024"/>
    <x v="0"/>
    <x v="0"/>
    <x v="8"/>
    <x v="0"/>
    <x v="2"/>
    <x v="0"/>
    <n v="12"/>
    <n v="145"/>
    <n v="1740"/>
  </r>
  <r>
    <x v="65"/>
    <n v="2024"/>
    <x v="11"/>
    <x v="3"/>
    <x v="7"/>
    <x v="0"/>
    <x v="4"/>
    <x v="3"/>
    <n v="10"/>
    <n v="94"/>
    <n v="940"/>
  </r>
  <r>
    <x v="51"/>
    <n v="2024"/>
    <x v="1"/>
    <x v="1"/>
    <x v="4"/>
    <x v="1"/>
    <x v="2"/>
    <x v="1"/>
    <n v="7"/>
    <n v="60"/>
    <n v="420"/>
  </r>
  <r>
    <x v="135"/>
    <n v="2024"/>
    <x v="9"/>
    <x v="1"/>
    <x v="9"/>
    <x v="1"/>
    <x v="0"/>
    <x v="2"/>
    <n v="3"/>
    <n v="161"/>
    <n v="483"/>
  </r>
  <r>
    <x v="9"/>
    <n v="2024"/>
    <x v="8"/>
    <x v="1"/>
    <x v="4"/>
    <x v="1"/>
    <x v="2"/>
    <x v="3"/>
    <n v="14"/>
    <n v="142"/>
    <n v="1988"/>
  </r>
  <r>
    <x v="136"/>
    <n v="2024"/>
    <x v="6"/>
    <x v="0"/>
    <x v="6"/>
    <x v="1"/>
    <x v="2"/>
    <x v="1"/>
    <n v="10"/>
    <n v="138"/>
    <n v="1380"/>
  </r>
  <r>
    <x v="137"/>
    <n v="2024"/>
    <x v="1"/>
    <x v="1"/>
    <x v="4"/>
    <x v="0"/>
    <x v="1"/>
    <x v="3"/>
    <n v="16"/>
    <n v="98"/>
    <n v="1568"/>
  </r>
  <r>
    <x v="93"/>
    <n v="2024"/>
    <x v="7"/>
    <x v="2"/>
    <x v="7"/>
    <x v="2"/>
    <x v="3"/>
    <x v="2"/>
    <n v="16"/>
    <n v="187"/>
    <n v="2992"/>
  </r>
  <r>
    <x v="32"/>
    <n v="2024"/>
    <x v="4"/>
    <x v="2"/>
    <x v="3"/>
    <x v="0"/>
    <x v="3"/>
    <x v="0"/>
    <n v="10"/>
    <n v="149"/>
    <n v="1490"/>
  </r>
  <r>
    <x v="138"/>
    <n v="2024"/>
    <x v="7"/>
    <x v="2"/>
    <x v="7"/>
    <x v="1"/>
    <x v="0"/>
    <x v="0"/>
    <n v="13"/>
    <n v="117"/>
    <n v="1521"/>
  </r>
  <r>
    <x v="112"/>
    <n v="2024"/>
    <x v="9"/>
    <x v="1"/>
    <x v="4"/>
    <x v="0"/>
    <x v="0"/>
    <x v="1"/>
    <n v="6"/>
    <n v="96"/>
    <n v="576"/>
  </r>
  <r>
    <x v="139"/>
    <n v="2024"/>
    <x v="0"/>
    <x v="0"/>
    <x v="7"/>
    <x v="2"/>
    <x v="3"/>
    <x v="4"/>
    <n v="12"/>
    <n v="104"/>
    <n v="1248"/>
  </r>
  <r>
    <x v="140"/>
    <n v="2024"/>
    <x v="0"/>
    <x v="0"/>
    <x v="1"/>
    <x v="2"/>
    <x v="1"/>
    <x v="1"/>
    <n v="9"/>
    <n v="74"/>
    <n v="666"/>
  </r>
  <r>
    <x v="141"/>
    <n v="2024"/>
    <x v="7"/>
    <x v="2"/>
    <x v="6"/>
    <x v="0"/>
    <x v="3"/>
    <x v="4"/>
    <n v="13"/>
    <n v="33"/>
    <n v="429"/>
  </r>
  <r>
    <x v="142"/>
    <n v="2024"/>
    <x v="2"/>
    <x v="2"/>
    <x v="8"/>
    <x v="0"/>
    <x v="1"/>
    <x v="3"/>
    <n v="4"/>
    <n v="183"/>
    <n v="732"/>
  </r>
  <r>
    <x v="111"/>
    <n v="2024"/>
    <x v="1"/>
    <x v="1"/>
    <x v="3"/>
    <x v="0"/>
    <x v="0"/>
    <x v="3"/>
    <n v="11"/>
    <n v="184"/>
    <n v="2024"/>
  </r>
  <r>
    <x v="143"/>
    <n v="2024"/>
    <x v="4"/>
    <x v="2"/>
    <x v="9"/>
    <x v="1"/>
    <x v="4"/>
    <x v="2"/>
    <n v="18"/>
    <n v="136"/>
    <n v="2448"/>
  </r>
  <r>
    <x v="144"/>
    <n v="2024"/>
    <x v="6"/>
    <x v="0"/>
    <x v="2"/>
    <x v="0"/>
    <x v="0"/>
    <x v="4"/>
    <n v="11"/>
    <n v="80"/>
    <n v="880"/>
  </r>
  <r>
    <x v="145"/>
    <n v="2024"/>
    <x v="8"/>
    <x v="1"/>
    <x v="8"/>
    <x v="0"/>
    <x v="0"/>
    <x v="2"/>
    <n v="4"/>
    <n v="79"/>
    <n v="316"/>
  </r>
  <r>
    <x v="146"/>
    <n v="2024"/>
    <x v="10"/>
    <x v="0"/>
    <x v="2"/>
    <x v="0"/>
    <x v="2"/>
    <x v="0"/>
    <n v="18"/>
    <n v="35"/>
    <n v="630"/>
  </r>
  <r>
    <x v="138"/>
    <n v="2024"/>
    <x v="7"/>
    <x v="2"/>
    <x v="6"/>
    <x v="2"/>
    <x v="2"/>
    <x v="4"/>
    <n v="1"/>
    <n v="88"/>
    <n v="88"/>
  </r>
  <r>
    <x v="39"/>
    <n v="2024"/>
    <x v="8"/>
    <x v="1"/>
    <x v="3"/>
    <x v="2"/>
    <x v="2"/>
    <x v="1"/>
    <n v="7"/>
    <n v="154"/>
    <n v="1078"/>
  </r>
  <r>
    <x v="147"/>
    <n v="2024"/>
    <x v="7"/>
    <x v="2"/>
    <x v="5"/>
    <x v="1"/>
    <x v="2"/>
    <x v="0"/>
    <n v="6"/>
    <n v="172"/>
    <n v="1032"/>
  </r>
  <r>
    <x v="104"/>
    <n v="2024"/>
    <x v="10"/>
    <x v="0"/>
    <x v="9"/>
    <x v="1"/>
    <x v="1"/>
    <x v="0"/>
    <n v="15"/>
    <n v="59"/>
    <n v="885"/>
  </r>
  <r>
    <x v="13"/>
    <n v="2024"/>
    <x v="6"/>
    <x v="0"/>
    <x v="1"/>
    <x v="2"/>
    <x v="3"/>
    <x v="1"/>
    <n v="18"/>
    <n v="199"/>
    <n v="3582"/>
  </r>
  <r>
    <x v="148"/>
    <n v="2024"/>
    <x v="8"/>
    <x v="1"/>
    <x v="5"/>
    <x v="2"/>
    <x v="4"/>
    <x v="0"/>
    <n v="11"/>
    <n v="151"/>
    <n v="1661"/>
  </r>
  <r>
    <x v="126"/>
    <n v="2024"/>
    <x v="10"/>
    <x v="0"/>
    <x v="6"/>
    <x v="2"/>
    <x v="0"/>
    <x v="4"/>
    <n v="15"/>
    <n v="154"/>
    <n v="2310"/>
  </r>
  <r>
    <x v="119"/>
    <n v="2024"/>
    <x v="0"/>
    <x v="0"/>
    <x v="8"/>
    <x v="0"/>
    <x v="1"/>
    <x v="2"/>
    <n v="16"/>
    <n v="66"/>
    <n v="1056"/>
  </r>
  <r>
    <x v="141"/>
    <n v="2024"/>
    <x v="7"/>
    <x v="2"/>
    <x v="1"/>
    <x v="0"/>
    <x v="4"/>
    <x v="0"/>
    <n v="7"/>
    <n v="199"/>
    <n v="1393"/>
  </r>
  <r>
    <x v="149"/>
    <n v="2024"/>
    <x v="10"/>
    <x v="0"/>
    <x v="7"/>
    <x v="2"/>
    <x v="1"/>
    <x v="4"/>
    <n v="10"/>
    <n v="153"/>
    <n v="1530"/>
  </r>
  <r>
    <x v="150"/>
    <n v="2024"/>
    <x v="0"/>
    <x v="0"/>
    <x v="4"/>
    <x v="0"/>
    <x v="1"/>
    <x v="3"/>
    <n v="12"/>
    <n v="130"/>
    <n v="1560"/>
  </r>
  <r>
    <x v="145"/>
    <n v="2024"/>
    <x v="8"/>
    <x v="1"/>
    <x v="1"/>
    <x v="0"/>
    <x v="0"/>
    <x v="4"/>
    <n v="14"/>
    <n v="64"/>
    <n v="896"/>
  </r>
  <r>
    <x v="118"/>
    <n v="2024"/>
    <x v="11"/>
    <x v="3"/>
    <x v="6"/>
    <x v="1"/>
    <x v="3"/>
    <x v="2"/>
    <n v="5"/>
    <n v="116"/>
    <n v="580"/>
  </r>
  <r>
    <x v="97"/>
    <n v="2024"/>
    <x v="2"/>
    <x v="2"/>
    <x v="0"/>
    <x v="2"/>
    <x v="2"/>
    <x v="4"/>
    <n v="18"/>
    <n v="163"/>
    <n v="2934"/>
  </r>
  <r>
    <x v="151"/>
    <n v="2024"/>
    <x v="9"/>
    <x v="1"/>
    <x v="4"/>
    <x v="2"/>
    <x v="3"/>
    <x v="1"/>
    <n v="5"/>
    <n v="47"/>
    <n v="235"/>
  </r>
  <r>
    <x v="150"/>
    <n v="2024"/>
    <x v="0"/>
    <x v="0"/>
    <x v="2"/>
    <x v="0"/>
    <x v="0"/>
    <x v="2"/>
    <n v="3"/>
    <n v="142"/>
    <n v="426"/>
  </r>
  <r>
    <x v="107"/>
    <n v="2024"/>
    <x v="0"/>
    <x v="0"/>
    <x v="9"/>
    <x v="2"/>
    <x v="0"/>
    <x v="3"/>
    <n v="5"/>
    <n v="58"/>
    <n v="290"/>
  </r>
  <r>
    <x v="150"/>
    <n v="2024"/>
    <x v="0"/>
    <x v="0"/>
    <x v="2"/>
    <x v="1"/>
    <x v="0"/>
    <x v="1"/>
    <n v="17"/>
    <n v="106"/>
    <n v="1802"/>
  </r>
  <r>
    <x v="56"/>
    <n v="2024"/>
    <x v="3"/>
    <x v="3"/>
    <x v="1"/>
    <x v="1"/>
    <x v="4"/>
    <x v="4"/>
    <n v="19"/>
    <n v="88"/>
    <n v="1672"/>
  </r>
  <r>
    <x v="127"/>
    <n v="2024"/>
    <x v="4"/>
    <x v="2"/>
    <x v="2"/>
    <x v="1"/>
    <x v="3"/>
    <x v="2"/>
    <n v="19"/>
    <n v="155"/>
    <n v="2945"/>
  </r>
  <r>
    <x v="150"/>
    <n v="2024"/>
    <x v="0"/>
    <x v="0"/>
    <x v="6"/>
    <x v="2"/>
    <x v="3"/>
    <x v="3"/>
    <n v="12"/>
    <n v="174"/>
    <n v="2088"/>
  </r>
  <r>
    <x v="58"/>
    <n v="2024"/>
    <x v="5"/>
    <x v="3"/>
    <x v="7"/>
    <x v="2"/>
    <x v="1"/>
    <x v="1"/>
    <n v="9"/>
    <n v="138"/>
    <n v="1242"/>
  </r>
  <r>
    <x v="152"/>
    <n v="2024"/>
    <x v="6"/>
    <x v="0"/>
    <x v="8"/>
    <x v="2"/>
    <x v="1"/>
    <x v="3"/>
    <n v="1"/>
    <n v="51"/>
    <n v="51"/>
  </r>
  <r>
    <x v="153"/>
    <n v="2024"/>
    <x v="7"/>
    <x v="2"/>
    <x v="9"/>
    <x v="2"/>
    <x v="1"/>
    <x v="4"/>
    <n v="18"/>
    <n v="97"/>
    <n v="1746"/>
  </r>
  <r>
    <x v="59"/>
    <n v="2024"/>
    <x v="11"/>
    <x v="3"/>
    <x v="2"/>
    <x v="2"/>
    <x v="0"/>
    <x v="3"/>
    <n v="4"/>
    <n v="98"/>
    <n v="392"/>
  </r>
  <r>
    <x v="154"/>
    <n v="2024"/>
    <x v="1"/>
    <x v="1"/>
    <x v="2"/>
    <x v="1"/>
    <x v="3"/>
    <x v="0"/>
    <n v="10"/>
    <n v="194"/>
    <n v="1940"/>
  </r>
  <r>
    <x v="155"/>
    <n v="2024"/>
    <x v="7"/>
    <x v="2"/>
    <x v="1"/>
    <x v="0"/>
    <x v="0"/>
    <x v="1"/>
    <n v="7"/>
    <n v="78"/>
    <n v="546"/>
  </r>
  <r>
    <x v="138"/>
    <n v="2024"/>
    <x v="7"/>
    <x v="2"/>
    <x v="8"/>
    <x v="1"/>
    <x v="4"/>
    <x v="3"/>
    <n v="1"/>
    <n v="170"/>
    <n v="170"/>
  </r>
  <r>
    <x v="156"/>
    <n v="2024"/>
    <x v="6"/>
    <x v="0"/>
    <x v="5"/>
    <x v="2"/>
    <x v="1"/>
    <x v="4"/>
    <n v="17"/>
    <n v="191"/>
    <n v="3247"/>
  </r>
  <r>
    <x v="152"/>
    <n v="2024"/>
    <x v="6"/>
    <x v="0"/>
    <x v="2"/>
    <x v="1"/>
    <x v="0"/>
    <x v="4"/>
    <n v="2"/>
    <n v="138"/>
    <n v="276"/>
  </r>
  <r>
    <x v="50"/>
    <n v="2024"/>
    <x v="11"/>
    <x v="3"/>
    <x v="6"/>
    <x v="2"/>
    <x v="0"/>
    <x v="3"/>
    <n v="11"/>
    <n v="115"/>
    <n v="1265"/>
  </r>
  <r>
    <x v="104"/>
    <n v="2024"/>
    <x v="10"/>
    <x v="0"/>
    <x v="0"/>
    <x v="2"/>
    <x v="4"/>
    <x v="4"/>
    <n v="9"/>
    <n v="82"/>
    <n v="738"/>
  </r>
  <r>
    <x v="64"/>
    <n v="2024"/>
    <x v="7"/>
    <x v="2"/>
    <x v="9"/>
    <x v="1"/>
    <x v="2"/>
    <x v="2"/>
    <n v="7"/>
    <n v="152"/>
    <n v="1064"/>
  </r>
  <r>
    <x v="126"/>
    <n v="2024"/>
    <x v="10"/>
    <x v="0"/>
    <x v="2"/>
    <x v="2"/>
    <x v="3"/>
    <x v="2"/>
    <n v="17"/>
    <n v="116"/>
    <n v="1972"/>
  </r>
  <r>
    <x v="143"/>
    <n v="2024"/>
    <x v="4"/>
    <x v="2"/>
    <x v="6"/>
    <x v="0"/>
    <x v="2"/>
    <x v="2"/>
    <n v="17"/>
    <n v="160"/>
    <n v="2720"/>
  </r>
  <r>
    <x v="157"/>
    <n v="2024"/>
    <x v="2"/>
    <x v="2"/>
    <x v="6"/>
    <x v="2"/>
    <x v="1"/>
    <x v="0"/>
    <n v="2"/>
    <n v="71"/>
    <n v="142"/>
  </r>
  <r>
    <x v="158"/>
    <n v="2024"/>
    <x v="8"/>
    <x v="1"/>
    <x v="9"/>
    <x v="0"/>
    <x v="0"/>
    <x v="3"/>
    <n v="6"/>
    <n v="127"/>
    <n v="762"/>
  </r>
  <r>
    <x v="159"/>
    <n v="2024"/>
    <x v="4"/>
    <x v="2"/>
    <x v="5"/>
    <x v="0"/>
    <x v="4"/>
    <x v="0"/>
    <n v="14"/>
    <n v="189"/>
    <n v="2646"/>
  </r>
  <r>
    <x v="160"/>
    <n v="2024"/>
    <x v="4"/>
    <x v="2"/>
    <x v="6"/>
    <x v="2"/>
    <x v="4"/>
    <x v="4"/>
    <n v="6"/>
    <n v="138"/>
    <n v="828"/>
  </r>
  <r>
    <x v="161"/>
    <n v="2024"/>
    <x v="6"/>
    <x v="0"/>
    <x v="0"/>
    <x v="1"/>
    <x v="3"/>
    <x v="0"/>
    <n v="2"/>
    <n v="80"/>
    <n v="160"/>
  </r>
  <r>
    <x v="110"/>
    <n v="2024"/>
    <x v="2"/>
    <x v="2"/>
    <x v="6"/>
    <x v="0"/>
    <x v="2"/>
    <x v="4"/>
    <n v="1"/>
    <n v="114"/>
    <n v="114"/>
  </r>
  <r>
    <x v="19"/>
    <n v="2024"/>
    <x v="9"/>
    <x v="1"/>
    <x v="6"/>
    <x v="1"/>
    <x v="3"/>
    <x v="4"/>
    <n v="10"/>
    <n v="156"/>
    <n v="1560"/>
  </r>
  <r>
    <x v="77"/>
    <n v="2024"/>
    <x v="9"/>
    <x v="1"/>
    <x v="6"/>
    <x v="0"/>
    <x v="0"/>
    <x v="1"/>
    <n v="5"/>
    <n v="50"/>
    <n v="250"/>
  </r>
  <r>
    <x v="162"/>
    <n v="2024"/>
    <x v="8"/>
    <x v="1"/>
    <x v="7"/>
    <x v="2"/>
    <x v="3"/>
    <x v="2"/>
    <n v="2"/>
    <n v="73"/>
    <n v="146"/>
  </r>
  <r>
    <x v="163"/>
    <n v="2024"/>
    <x v="0"/>
    <x v="0"/>
    <x v="7"/>
    <x v="2"/>
    <x v="4"/>
    <x v="4"/>
    <n v="16"/>
    <n v="168"/>
    <n v="2688"/>
  </r>
  <r>
    <x v="143"/>
    <n v="2024"/>
    <x v="4"/>
    <x v="2"/>
    <x v="5"/>
    <x v="0"/>
    <x v="4"/>
    <x v="1"/>
    <n v="2"/>
    <n v="132"/>
    <n v="264"/>
  </r>
  <r>
    <x v="164"/>
    <n v="2024"/>
    <x v="7"/>
    <x v="2"/>
    <x v="2"/>
    <x v="2"/>
    <x v="1"/>
    <x v="2"/>
    <n v="10"/>
    <n v="97"/>
    <n v="970"/>
  </r>
  <r>
    <x v="165"/>
    <n v="2024"/>
    <x v="6"/>
    <x v="0"/>
    <x v="6"/>
    <x v="0"/>
    <x v="1"/>
    <x v="4"/>
    <n v="2"/>
    <n v="158"/>
    <n v="316"/>
  </r>
  <r>
    <x v="166"/>
    <n v="2024"/>
    <x v="0"/>
    <x v="0"/>
    <x v="8"/>
    <x v="2"/>
    <x v="0"/>
    <x v="4"/>
    <n v="16"/>
    <n v="121"/>
    <n v="1936"/>
  </r>
  <r>
    <x v="95"/>
    <n v="2024"/>
    <x v="4"/>
    <x v="2"/>
    <x v="2"/>
    <x v="1"/>
    <x v="2"/>
    <x v="0"/>
    <n v="16"/>
    <n v="53"/>
    <n v="848"/>
  </r>
  <r>
    <x v="167"/>
    <n v="2024"/>
    <x v="6"/>
    <x v="0"/>
    <x v="5"/>
    <x v="2"/>
    <x v="3"/>
    <x v="0"/>
    <n v="19"/>
    <n v="154"/>
    <n v="2926"/>
  </r>
  <r>
    <x v="127"/>
    <n v="2024"/>
    <x v="4"/>
    <x v="2"/>
    <x v="3"/>
    <x v="1"/>
    <x v="0"/>
    <x v="2"/>
    <n v="7"/>
    <n v="170"/>
    <n v="1190"/>
  </r>
  <r>
    <x v="168"/>
    <n v="2024"/>
    <x v="8"/>
    <x v="1"/>
    <x v="2"/>
    <x v="2"/>
    <x v="1"/>
    <x v="4"/>
    <n v="12"/>
    <n v="140"/>
    <n v="1680"/>
  </r>
  <r>
    <x v="1"/>
    <n v="2024"/>
    <x v="1"/>
    <x v="1"/>
    <x v="2"/>
    <x v="1"/>
    <x v="3"/>
    <x v="3"/>
    <n v="15"/>
    <n v="127"/>
    <n v="1905"/>
  </r>
  <r>
    <x v="142"/>
    <n v="2024"/>
    <x v="2"/>
    <x v="2"/>
    <x v="4"/>
    <x v="2"/>
    <x v="1"/>
    <x v="0"/>
    <n v="8"/>
    <n v="168"/>
    <n v="1344"/>
  </r>
  <r>
    <x v="169"/>
    <n v="2024"/>
    <x v="6"/>
    <x v="0"/>
    <x v="1"/>
    <x v="1"/>
    <x v="3"/>
    <x v="2"/>
    <n v="6"/>
    <n v="46"/>
    <n v="276"/>
  </r>
  <r>
    <x v="71"/>
    <n v="2024"/>
    <x v="2"/>
    <x v="2"/>
    <x v="4"/>
    <x v="0"/>
    <x v="2"/>
    <x v="4"/>
    <n v="10"/>
    <n v="128"/>
    <n v="1280"/>
  </r>
  <r>
    <x v="49"/>
    <n v="2024"/>
    <x v="1"/>
    <x v="1"/>
    <x v="0"/>
    <x v="0"/>
    <x v="0"/>
    <x v="4"/>
    <n v="3"/>
    <n v="111"/>
    <n v="333"/>
  </r>
  <r>
    <x v="170"/>
    <n v="2024"/>
    <x v="6"/>
    <x v="0"/>
    <x v="7"/>
    <x v="1"/>
    <x v="3"/>
    <x v="3"/>
    <n v="19"/>
    <n v="133"/>
    <n v="2527"/>
  </r>
  <r>
    <x v="169"/>
    <n v="2024"/>
    <x v="6"/>
    <x v="0"/>
    <x v="7"/>
    <x v="2"/>
    <x v="4"/>
    <x v="2"/>
    <n v="17"/>
    <n v="181"/>
    <n v="3077"/>
  </r>
  <r>
    <x v="116"/>
    <n v="2024"/>
    <x v="1"/>
    <x v="1"/>
    <x v="1"/>
    <x v="1"/>
    <x v="4"/>
    <x v="4"/>
    <n v="7"/>
    <n v="48"/>
    <n v="336"/>
  </r>
  <r>
    <x v="171"/>
    <n v="2024"/>
    <x v="4"/>
    <x v="2"/>
    <x v="9"/>
    <x v="2"/>
    <x v="3"/>
    <x v="0"/>
    <n v="4"/>
    <n v="194"/>
    <n v="776"/>
  </r>
  <r>
    <x v="172"/>
    <n v="2024"/>
    <x v="8"/>
    <x v="1"/>
    <x v="9"/>
    <x v="0"/>
    <x v="3"/>
    <x v="3"/>
    <n v="14"/>
    <n v="114"/>
    <n v="1596"/>
  </r>
  <r>
    <x v="136"/>
    <n v="2024"/>
    <x v="6"/>
    <x v="0"/>
    <x v="5"/>
    <x v="2"/>
    <x v="3"/>
    <x v="2"/>
    <n v="15"/>
    <n v="37"/>
    <n v="555"/>
  </r>
  <r>
    <x v="173"/>
    <n v="2024"/>
    <x v="11"/>
    <x v="3"/>
    <x v="1"/>
    <x v="0"/>
    <x v="4"/>
    <x v="3"/>
    <n v="8"/>
    <n v="57"/>
    <n v="456"/>
  </r>
  <r>
    <x v="76"/>
    <n v="2024"/>
    <x v="1"/>
    <x v="1"/>
    <x v="2"/>
    <x v="2"/>
    <x v="4"/>
    <x v="0"/>
    <n v="15"/>
    <n v="34"/>
    <n v="510"/>
  </r>
  <r>
    <x v="12"/>
    <n v="2024"/>
    <x v="1"/>
    <x v="1"/>
    <x v="9"/>
    <x v="2"/>
    <x v="3"/>
    <x v="2"/>
    <n v="14"/>
    <n v="174"/>
    <n v="2436"/>
  </r>
  <r>
    <x v="86"/>
    <n v="2024"/>
    <x v="6"/>
    <x v="0"/>
    <x v="6"/>
    <x v="2"/>
    <x v="1"/>
    <x v="3"/>
    <n v="9"/>
    <n v="130"/>
    <n v="1170"/>
  </r>
  <r>
    <x v="174"/>
    <n v="2024"/>
    <x v="2"/>
    <x v="2"/>
    <x v="8"/>
    <x v="1"/>
    <x v="1"/>
    <x v="1"/>
    <n v="8"/>
    <n v="193"/>
    <n v="1544"/>
  </r>
  <r>
    <x v="175"/>
    <n v="2024"/>
    <x v="6"/>
    <x v="0"/>
    <x v="2"/>
    <x v="1"/>
    <x v="2"/>
    <x v="0"/>
    <n v="17"/>
    <n v="147"/>
    <n v="2499"/>
  </r>
  <r>
    <x v="176"/>
    <n v="2024"/>
    <x v="9"/>
    <x v="1"/>
    <x v="0"/>
    <x v="0"/>
    <x v="0"/>
    <x v="0"/>
    <n v="2"/>
    <n v="176"/>
    <n v="352"/>
  </r>
  <r>
    <x v="103"/>
    <n v="2024"/>
    <x v="0"/>
    <x v="0"/>
    <x v="6"/>
    <x v="0"/>
    <x v="1"/>
    <x v="0"/>
    <n v="3"/>
    <n v="93"/>
    <n v="279"/>
  </r>
  <r>
    <x v="177"/>
    <n v="2024"/>
    <x v="2"/>
    <x v="2"/>
    <x v="6"/>
    <x v="1"/>
    <x v="4"/>
    <x v="1"/>
    <n v="8"/>
    <n v="120"/>
    <n v="960"/>
  </r>
  <r>
    <x v="71"/>
    <n v="2024"/>
    <x v="2"/>
    <x v="2"/>
    <x v="1"/>
    <x v="0"/>
    <x v="1"/>
    <x v="1"/>
    <n v="12"/>
    <n v="146"/>
    <n v="1752"/>
  </r>
  <r>
    <x v="165"/>
    <n v="2024"/>
    <x v="6"/>
    <x v="0"/>
    <x v="5"/>
    <x v="1"/>
    <x v="2"/>
    <x v="4"/>
    <n v="1"/>
    <n v="127"/>
    <n v="127"/>
  </r>
  <r>
    <x v="49"/>
    <n v="2024"/>
    <x v="1"/>
    <x v="1"/>
    <x v="0"/>
    <x v="2"/>
    <x v="2"/>
    <x v="3"/>
    <n v="10"/>
    <n v="40"/>
    <n v="400"/>
  </r>
  <r>
    <x v="178"/>
    <n v="2024"/>
    <x v="0"/>
    <x v="0"/>
    <x v="9"/>
    <x v="0"/>
    <x v="0"/>
    <x v="4"/>
    <n v="3"/>
    <n v="83"/>
    <n v="249"/>
  </r>
  <r>
    <x v="179"/>
    <n v="2024"/>
    <x v="11"/>
    <x v="3"/>
    <x v="1"/>
    <x v="0"/>
    <x v="1"/>
    <x v="3"/>
    <n v="6"/>
    <n v="76"/>
    <n v="456"/>
  </r>
  <r>
    <x v="58"/>
    <n v="2024"/>
    <x v="5"/>
    <x v="3"/>
    <x v="9"/>
    <x v="1"/>
    <x v="4"/>
    <x v="1"/>
    <n v="7"/>
    <n v="169"/>
    <n v="1183"/>
  </r>
  <r>
    <x v="70"/>
    <n v="2024"/>
    <x v="9"/>
    <x v="1"/>
    <x v="1"/>
    <x v="0"/>
    <x v="4"/>
    <x v="1"/>
    <n v="18"/>
    <n v="178"/>
    <n v="3204"/>
  </r>
  <r>
    <x v="180"/>
    <n v="2024"/>
    <x v="2"/>
    <x v="2"/>
    <x v="1"/>
    <x v="0"/>
    <x v="3"/>
    <x v="4"/>
    <n v="11"/>
    <n v="168"/>
    <n v="1848"/>
  </r>
  <r>
    <x v="181"/>
    <n v="2024"/>
    <x v="6"/>
    <x v="0"/>
    <x v="1"/>
    <x v="2"/>
    <x v="4"/>
    <x v="2"/>
    <n v="19"/>
    <n v="34"/>
    <n v="646"/>
  </r>
  <r>
    <x v="182"/>
    <n v="2024"/>
    <x v="11"/>
    <x v="3"/>
    <x v="5"/>
    <x v="0"/>
    <x v="0"/>
    <x v="4"/>
    <n v="5"/>
    <n v="49"/>
    <n v="245"/>
  </r>
  <r>
    <x v="126"/>
    <n v="2024"/>
    <x v="10"/>
    <x v="0"/>
    <x v="1"/>
    <x v="2"/>
    <x v="0"/>
    <x v="3"/>
    <n v="19"/>
    <n v="198"/>
    <n v="3762"/>
  </r>
  <r>
    <x v="85"/>
    <n v="2024"/>
    <x v="5"/>
    <x v="3"/>
    <x v="3"/>
    <x v="1"/>
    <x v="4"/>
    <x v="4"/>
    <n v="11"/>
    <n v="75"/>
    <n v="825"/>
  </r>
  <r>
    <x v="141"/>
    <n v="2024"/>
    <x v="7"/>
    <x v="2"/>
    <x v="8"/>
    <x v="0"/>
    <x v="4"/>
    <x v="0"/>
    <n v="12"/>
    <n v="41"/>
    <n v="492"/>
  </r>
  <r>
    <x v="103"/>
    <n v="2024"/>
    <x v="0"/>
    <x v="0"/>
    <x v="9"/>
    <x v="2"/>
    <x v="3"/>
    <x v="3"/>
    <n v="10"/>
    <n v="99"/>
    <n v="990"/>
  </r>
  <r>
    <x v="170"/>
    <n v="2024"/>
    <x v="6"/>
    <x v="0"/>
    <x v="2"/>
    <x v="1"/>
    <x v="4"/>
    <x v="3"/>
    <n v="8"/>
    <n v="46"/>
    <n v="368"/>
  </r>
  <r>
    <x v="70"/>
    <n v="2024"/>
    <x v="9"/>
    <x v="1"/>
    <x v="4"/>
    <x v="0"/>
    <x v="3"/>
    <x v="2"/>
    <n v="9"/>
    <n v="144"/>
    <n v="1296"/>
  </r>
  <r>
    <x v="74"/>
    <n v="2024"/>
    <x v="4"/>
    <x v="2"/>
    <x v="0"/>
    <x v="1"/>
    <x v="3"/>
    <x v="1"/>
    <n v="4"/>
    <n v="176"/>
    <n v="704"/>
  </r>
  <r>
    <x v="14"/>
    <n v="2024"/>
    <x v="6"/>
    <x v="0"/>
    <x v="7"/>
    <x v="0"/>
    <x v="4"/>
    <x v="3"/>
    <n v="5"/>
    <n v="183"/>
    <n v="915"/>
  </r>
  <r>
    <x v="13"/>
    <n v="2024"/>
    <x v="6"/>
    <x v="0"/>
    <x v="5"/>
    <x v="1"/>
    <x v="2"/>
    <x v="1"/>
    <n v="8"/>
    <n v="77"/>
    <n v="616"/>
  </r>
  <r>
    <x v="59"/>
    <n v="2024"/>
    <x v="11"/>
    <x v="3"/>
    <x v="2"/>
    <x v="1"/>
    <x v="2"/>
    <x v="4"/>
    <n v="9"/>
    <n v="137"/>
    <n v="1233"/>
  </r>
  <r>
    <x v="183"/>
    <n v="2024"/>
    <x v="0"/>
    <x v="0"/>
    <x v="6"/>
    <x v="2"/>
    <x v="3"/>
    <x v="0"/>
    <n v="15"/>
    <n v="81"/>
    <n v="1215"/>
  </r>
  <r>
    <x v="22"/>
    <n v="2024"/>
    <x v="10"/>
    <x v="0"/>
    <x v="3"/>
    <x v="1"/>
    <x v="4"/>
    <x v="2"/>
    <n v="15"/>
    <n v="125"/>
    <n v="1875"/>
  </r>
  <r>
    <x v="140"/>
    <n v="2024"/>
    <x v="0"/>
    <x v="0"/>
    <x v="7"/>
    <x v="0"/>
    <x v="2"/>
    <x v="1"/>
    <n v="16"/>
    <n v="99"/>
    <n v="1584"/>
  </r>
  <r>
    <x v="184"/>
    <n v="2024"/>
    <x v="3"/>
    <x v="3"/>
    <x v="4"/>
    <x v="0"/>
    <x v="4"/>
    <x v="3"/>
    <n v="14"/>
    <n v="131"/>
    <n v="1834"/>
  </r>
  <r>
    <x v="150"/>
    <n v="2024"/>
    <x v="0"/>
    <x v="0"/>
    <x v="2"/>
    <x v="2"/>
    <x v="4"/>
    <x v="1"/>
    <n v="8"/>
    <n v="104"/>
    <n v="832"/>
  </r>
  <r>
    <x v="185"/>
    <n v="2024"/>
    <x v="0"/>
    <x v="0"/>
    <x v="7"/>
    <x v="0"/>
    <x v="4"/>
    <x v="3"/>
    <n v="18"/>
    <n v="190"/>
    <n v="3420"/>
  </r>
  <r>
    <x v="51"/>
    <n v="2024"/>
    <x v="1"/>
    <x v="1"/>
    <x v="2"/>
    <x v="0"/>
    <x v="1"/>
    <x v="1"/>
    <n v="10"/>
    <n v="180"/>
    <n v="1800"/>
  </r>
  <r>
    <x v="180"/>
    <n v="2024"/>
    <x v="2"/>
    <x v="2"/>
    <x v="3"/>
    <x v="0"/>
    <x v="4"/>
    <x v="3"/>
    <n v="6"/>
    <n v="172"/>
    <n v="1032"/>
  </r>
  <r>
    <x v="106"/>
    <n v="2024"/>
    <x v="7"/>
    <x v="2"/>
    <x v="4"/>
    <x v="1"/>
    <x v="1"/>
    <x v="4"/>
    <n v="12"/>
    <n v="184"/>
    <n v="2208"/>
  </r>
  <r>
    <x v="178"/>
    <n v="2024"/>
    <x v="0"/>
    <x v="0"/>
    <x v="6"/>
    <x v="1"/>
    <x v="3"/>
    <x v="3"/>
    <n v="2"/>
    <n v="111"/>
    <n v="222"/>
  </r>
  <r>
    <x v="103"/>
    <n v="2024"/>
    <x v="0"/>
    <x v="0"/>
    <x v="1"/>
    <x v="0"/>
    <x v="2"/>
    <x v="3"/>
    <n v="7"/>
    <n v="121"/>
    <n v="847"/>
  </r>
  <r>
    <x v="186"/>
    <n v="2024"/>
    <x v="10"/>
    <x v="0"/>
    <x v="9"/>
    <x v="2"/>
    <x v="2"/>
    <x v="0"/>
    <n v="16"/>
    <n v="33"/>
    <n v="528"/>
  </r>
  <r>
    <x v="1"/>
    <n v="2024"/>
    <x v="1"/>
    <x v="1"/>
    <x v="6"/>
    <x v="1"/>
    <x v="2"/>
    <x v="3"/>
    <n v="3"/>
    <n v="164"/>
    <n v="492"/>
  </r>
  <r>
    <x v="187"/>
    <n v="2024"/>
    <x v="1"/>
    <x v="1"/>
    <x v="1"/>
    <x v="2"/>
    <x v="2"/>
    <x v="0"/>
    <n v="13"/>
    <n v="138"/>
    <n v="1794"/>
  </r>
  <r>
    <x v="76"/>
    <n v="2024"/>
    <x v="1"/>
    <x v="1"/>
    <x v="5"/>
    <x v="0"/>
    <x v="2"/>
    <x v="2"/>
    <n v="3"/>
    <n v="192"/>
    <n v="576"/>
  </r>
  <r>
    <x v="188"/>
    <n v="2024"/>
    <x v="4"/>
    <x v="2"/>
    <x v="8"/>
    <x v="0"/>
    <x v="2"/>
    <x v="0"/>
    <n v="18"/>
    <n v="77"/>
    <n v="1386"/>
  </r>
  <r>
    <x v="62"/>
    <n v="2024"/>
    <x v="8"/>
    <x v="1"/>
    <x v="0"/>
    <x v="1"/>
    <x v="2"/>
    <x v="4"/>
    <n v="11"/>
    <n v="102"/>
    <n v="1122"/>
  </r>
  <r>
    <x v="90"/>
    <n v="2024"/>
    <x v="10"/>
    <x v="0"/>
    <x v="0"/>
    <x v="0"/>
    <x v="3"/>
    <x v="0"/>
    <n v="8"/>
    <n v="101"/>
    <n v="808"/>
  </r>
  <r>
    <x v="74"/>
    <n v="2024"/>
    <x v="4"/>
    <x v="2"/>
    <x v="9"/>
    <x v="1"/>
    <x v="4"/>
    <x v="2"/>
    <n v="6"/>
    <n v="145"/>
    <n v="870"/>
  </r>
  <r>
    <x v="189"/>
    <n v="2024"/>
    <x v="10"/>
    <x v="0"/>
    <x v="4"/>
    <x v="0"/>
    <x v="0"/>
    <x v="4"/>
    <n v="1"/>
    <n v="110"/>
    <n v="110"/>
  </r>
  <r>
    <x v="22"/>
    <n v="2024"/>
    <x v="10"/>
    <x v="0"/>
    <x v="3"/>
    <x v="0"/>
    <x v="1"/>
    <x v="1"/>
    <n v="1"/>
    <n v="110"/>
    <n v="110"/>
  </r>
  <r>
    <x v="190"/>
    <n v="2024"/>
    <x v="3"/>
    <x v="3"/>
    <x v="4"/>
    <x v="1"/>
    <x v="0"/>
    <x v="1"/>
    <n v="8"/>
    <n v="142"/>
    <n v="1136"/>
  </r>
  <r>
    <x v="91"/>
    <n v="2024"/>
    <x v="9"/>
    <x v="1"/>
    <x v="3"/>
    <x v="1"/>
    <x v="0"/>
    <x v="0"/>
    <n v="5"/>
    <n v="125"/>
    <n v="625"/>
  </r>
  <r>
    <x v="21"/>
    <n v="2024"/>
    <x v="9"/>
    <x v="1"/>
    <x v="4"/>
    <x v="1"/>
    <x v="4"/>
    <x v="0"/>
    <n v="16"/>
    <n v="101"/>
    <n v="1616"/>
  </r>
  <r>
    <x v="70"/>
    <n v="2024"/>
    <x v="9"/>
    <x v="1"/>
    <x v="8"/>
    <x v="0"/>
    <x v="4"/>
    <x v="2"/>
    <n v="11"/>
    <n v="176"/>
    <n v="1936"/>
  </r>
  <r>
    <x v="40"/>
    <n v="2024"/>
    <x v="6"/>
    <x v="0"/>
    <x v="5"/>
    <x v="0"/>
    <x v="4"/>
    <x v="2"/>
    <n v="5"/>
    <n v="92"/>
    <n v="460"/>
  </r>
  <r>
    <x v="191"/>
    <n v="2024"/>
    <x v="4"/>
    <x v="2"/>
    <x v="5"/>
    <x v="2"/>
    <x v="2"/>
    <x v="3"/>
    <n v="4"/>
    <n v="67"/>
    <n v="268"/>
  </r>
  <r>
    <x v="136"/>
    <n v="2024"/>
    <x v="6"/>
    <x v="0"/>
    <x v="1"/>
    <x v="1"/>
    <x v="3"/>
    <x v="2"/>
    <n v="6"/>
    <n v="96"/>
    <n v="576"/>
  </r>
  <r>
    <x v="98"/>
    <n v="2024"/>
    <x v="11"/>
    <x v="3"/>
    <x v="7"/>
    <x v="0"/>
    <x v="2"/>
    <x v="3"/>
    <n v="14"/>
    <n v="98"/>
    <n v="1372"/>
  </r>
  <r>
    <x v="192"/>
    <n v="2024"/>
    <x v="10"/>
    <x v="0"/>
    <x v="5"/>
    <x v="0"/>
    <x v="3"/>
    <x v="4"/>
    <n v="19"/>
    <n v="42"/>
    <n v="798"/>
  </r>
  <r>
    <x v="24"/>
    <n v="2024"/>
    <x v="5"/>
    <x v="3"/>
    <x v="5"/>
    <x v="1"/>
    <x v="3"/>
    <x v="0"/>
    <n v="9"/>
    <n v="60"/>
    <n v="540"/>
  </r>
  <r>
    <x v="193"/>
    <n v="2024"/>
    <x v="7"/>
    <x v="2"/>
    <x v="6"/>
    <x v="2"/>
    <x v="0"/>
    <x v="4"/>
    <n v="12"/>
    <n v="143"/>
    <n v="1716"/>
  </r>
  <r>
    <x v="194"/>
    <n v="2024"/>
    <x v="10"/>
    <x v="0"/>
    <x v="6"/>
    <x v="1"/>
    <x v="0"/>
    <x v="2"/>
    <n v="11"/>
    <n v="51"/>
    <n v="561"/>
  </r>
  <r>
    <x v="195"/>
    <n v="2024"/>
    <x v="11"/>
    <x v="3"/>
    <x v="1"/>
    <x v="2"/>
    <x v="3"/>
    <x v="4"/>
    <n v="14"/>
    <n v="122"/>
    <n v="1708"/>
  </r>
  <r>
    <x v="196"/>
    <n v="2024"/>
    <x v="7"/>
    <x v="2"/>
    <x v="7"/>
    <x v="0"/>
    <x v="3"/>
    <x v="4"/>
    <n v="16"/>
    <n v="96"/>
    <n v="1536"/>
  </r>
  <r>
    <x v="197"/>
    <n v="2024"/>
    <x v="1"/>
    <x v="1"/>
    <x v="9"/>
    <x v="2"/>
    <x v="2"/>
    <x v="4"/>
    <n v="1"/>
    <n v="83"/>
    <n v="83"/>
  </r>
  <r>
    <x v="34"/>
    <n v="2024"/>
    <x v="11"/>
    <x v="3"/>
    <x v="6"/>
    <x v="0"/>
    <x v="2"/>
    <x v="2"/>
    <n v="13"/>
    <n v="167"/>
    <n v="2171"/>
  </r>
  <r>
    <x v="53"/>
    <n v="2024"/>
    <x v="2"/>
    <x v="2"/>
    <x v="9"/>
    <x v="1"/>
    <x v="0"/>
    <x v="4"/>
    <n v="13"/>
    <n v="71"/>
    <n v="923"/>
  </r>
  <r>
    <x v="112"/>
    <n v="2024"/>
    <x v="9"/>
    <x v="1"/>
    <x v="2"/>
    <x v="1"/>
    <x v="4"/>
    <x v="3"/>
    <n v="2"/>
    <n v="93"/>
    <n v="186"/>
  </r>
  <r>
    <x v="198"/>
    <n v="2024"/>
    <x v="5"/>
    <x v="3"/>
    <x v="6"/>
    <x v="1"/>
    <x v="3"/>
    <x v="2"/>
    <n v="4"/>
    <n v="155"/>
    <n v="620"/>
  </r>
  <r>
    <x v="199"/>
    <n v="2024"/>
    <x v="7"/>
    <x v="2"/>
    <x v="8"/>
    <x v="2"/>
    <x v="2"/>
    <x v="4"/>
    <n v="6"/>
    <n v="50"/>
    <n v="300"/>
  </r>
  <r>
    <x v="21"/>
    <n v="2024"/>
    <x v="9"/>
    <x v="1"/>
    <x v="7"/>
    <x v="0"/>
    <x v="0"/>
    <x v="2"/>
    <n v="5"/>
    <n v="198"/>
    <n v="990"/>
  </r>
  <r>
    <x v="135"/>
    <n v="2024"/>
    <x v="9"/>
    <x v="1"/>
    <x v="1"/>
    <x v="1"/>
    <x v="2"/>
    <x v="1"/>
    <n v="3"/>
    <n v="181"/>
    <n v="543"/>
  </r>
  <r>
    <x v="166"/>
    <n v="2024"/>
    <x v="0"/>
    <x v="0"/>
    <x v="2"/>
    <x v="1"/>
    <x v="3"/>
    <x v="3"/>
    <n v="1"/>
    <n v="64"/>
    <n v="64"/>
  </r>
  <r>
    <x v="130"/>
    <n v="2024"/>
    <x v="9"/>
    <x v="1"/>
    <x v="7"/>
    <x v="0"/>
    <x v="3"/>
    <x v="4"/>
    <n v="4"/>
    <n v="59"/>
    <n v="236"/>
  </r>
  <r>
    <x v="200"/>
    <n v="2024"/>
    <x v="8"/>
    <x v="1"/>
    <x v="8"/>
    <x v="1"/>
    <x v="1"/>
    <x v="1"/>
    <n v="2"/>
    <n v="86"/>
    <n v="172"/>
  </r>
  <r>
    <x v="70"/>
    <n v="2024"/>
    <x v="9"/>
    <x v="1"/>
    <x v="7"/>
    <x v="0"/>
    <x v="4"/>
    <x v="1"/>
    <n v="5"/>
    <n v="76"/>
    <n v="380"/>
  </r>
  <r>
    <x v="170"/>
    <n v="2024"/>
    <x v="6"/>
    <x v="0"/>
    <x v="8"/>
    <x v="0"/>
    <x v="1"/>
    <x v="2"/>
    <n v="3"/>
    <n v="192"/>
    <n v="576"/>
  </r>
  <r>
    <x v="201"/>
    <n v="2024"/>
    <x v="5"/>
    <x v="3"/>
    <x v="8"/>
    <x v="0"/>
    <x v="0"/>
    <x v="1"/>
    <n v="9"/>
    <n v="48"/>
    <n v="432"/>
  </r>
  <r>
    <x v="54"/>
    <n v="2024"/>
    <x v="11"/>
    <x v="3"/>
    <x v="9"/>
    <x v="0"/>
    <x v="2"/>
    <x v="3"/>
    <n v="6"/>
    <n v="143"/>
    <n v="858"/>
  </r>
  <r>
    <x v="20"/>
    <n v="2024"/>
    <x v="4"/>
    <x v="2"/>
    <x v="4"/>
    <x v="0"/>
    <x v="0"/>
    <x v="3"/>
    <n v="18"/>
    <n v="37"/>
    <n v="666"/>
  </r>
  <r>
    <x v="28"/>
    <n v="2024"/>
    <x v="11"/>
    <x v="3"/>
    <x v="2"/>
    <x v="2"/>
    <x v="3"/>
    <x v="0"/>
    <n v="6"/>
    <n v="55"/>
    <n v="330"/>
  </r>
  <r>
    <x v="202"/>
    <n v="2024"/>
    <x v="5"/>
    <x v="3"/>
    <x v="7"/>
    <x v="1"/>
    <x v="1"/>
    <x v="3"/>
    <n v="19"/>
    <n v="142"/>
    <n v="2698"/>
  </r>
  <r>
    <x v="104"/>
    <n v="2024"/>
    <x v="10"/>
    <x v="0"/>
    <x v="3"/>
    <x v="2"/>
    <x v="1"/>
    <x v="1"/>
    <n v="12"/>
    <n v="100"/>
    <n v="1200"/>
  </r>
  <r>
    <x v="153"/>
    <n v="2024"/>
    <x v="7"/>
    <x v="2"/>
    <x v="2"/>
    <x v="1"/>
    <x v="1"/>
    <x v="3"/>
    <n v="11"/>
    <n v="59"/>
    <n v="649"/>
  </r>
  <r>
    <x v="194"/>
    <n v="2024"/>
    <x v="10"/>
    <x v="0"/>
    <x v="4"/>
    <x v="2"/>
    <x v="0"/>
    <x v="2"/>
    <n v="2"/>
    <n v="164"/>
    <n v="328"/>
  </r>
  <r>
    <x v="203"/>
    <n v="2024"/>
    <x v="11"/>
    <x v="3"/>
    <x v="2"/>
    <x v="0"/>
    <x v="3"/>
    <x v="0"/>
    <n v="15"/>
    <n v="96"/>
    <n v="1440"/>
  </r>
  <r>
    <x v="204"/>
    <n v="2024"/>
    <x v="5"/>
    <x v="3"/>
    <x v="5"/>
    <x v="1"/>
    <x v="2"/>
    <x v="1"/>
    <n v="12"/>
    <n v="94"/>
    <n v="1128"/>
  </r>
  <r>
    <x v="103"/>
    <n v="2024"/>
    <x v="0"/>
    <x v="0"/>
    <x v="3"/>
    <x v="1"/>
    <x v="2"/>
    <x v="0"/>
    <n v="12"/>
    <n v="65"/>
    <n v="780"/>
  </r>
  <r>
    <x v="141"/>
    <n v="2024"/>
    <x v="7"/>
    <x v="2"/>
    <x v="4"/>
    <x v="2"/>
    <x v="0"/>
    <x v="1"/>
    <n v="9"/>
    <n v="54"/>
    <n v="486"/>
  </r>
  <r>
    <x v="182"/>
    <n v="2024"/>
    <x v="11"/>
    <x v="3"/>
    <x v="9"/>
    <x v="2"/>
    <x v="1"/>
    <x v="2"/>
    <n v="2"/>
    <n v="66"/>
    <n v="132"/>
  </r>
  <r>
    <x v="77"/>
    <n v="2024"/>
    <x v="9"/>
    <x v="1"/>
    <x v="7"/>
    <x v="1"/>
    <x v="4"/>
    <x v="0"/>
    <n v="3"/>
    <n v="30"/>
    <n v="90"/>
  </r>
  <r>
    <x v="1"/>
    <n v="2024"/>
    <x v="1"/>
    <x v="1"/>
    <x v="0"/>
    <x v="2"/>
    <x v="0"/>
    <x v="4"/>
    <n v="12"/>
    <n v="172"/>
    <n v="2064"/>
  </r>
  <r>
    <x v="205"/>
    <n v="2024"/>
    <x v="9"/>
    <x v="1"/>
    <x v="4"/>
    <x v="2"/>
    <x v="0"/>
    <x v="1"/>
    <n v="16"/>
    <n v="66"/>
    <n v="1056"/>
  </r>
  <r>
    <x v="206"/>
    <n v="2024"/>
    <x v="10"/>
    <x v="0"/>
    <x v="1"/>
    <x v="2"/>
    <x v="3"/>
    <x v="4"/>
    <n v="1"/>
    <n v="170"/>
    <n v="170"/>
  </r>
  <r>
    <x v="207"/>
    <n v="2024"/>
    <x v="0"/>
    <x v="0"/>
    <x v="7"/>
    <x v="0"/>
    <x v="2"/>
    <x v="0"/>
    <n v="3"/>
    <n v="165"/>
    <n v="495"/>
  </r>
  <r>
    <x v="103"/>
    <n v="2024"/>
    <x v="0"/>
    <x v="0"/>
    <x v="4"/>
    <x v="0"/>
    <x v="0"/>
    <x v="4"/>
    <n v="2"/>
    <n v="162"/>
    <n v="324"/>
  </r>
  <r>
    <x v="31"/>
    <n v="2024"/>
    <x v="4"/>
    <x v="2"/>
    <x v="5"/>
    <x v="2"/>
    <x v="0"/>
    <x v="4"/>
    <n v="9"/>
    <n v="157"/>
    <n v="1413"/>
  </r>
  <r>
    <x v="140"/>
    <n v="2024"/>
    <x v="0"/>
    <x v="0"/>
    <x v="0"/>
    <x v="2"/>
    <x v="1"/>
    <x v="0"/>
    <n v="19"/>
    <n v="156"/>
    <n v="2964"/>
  </r>
  <r>
    <x v="63"/>
    <n v="2024"/>
    <x v="4"/>
    <x v="2"/>
    <x v="5"/>
    <x v="0"/>
    <x v="1"/>
    <x v="2"/>
    <n v="15"/>
    <n v="30"/>
    <n v="450"/>
  </r>
  <r>
    <x v="25"/>
    <n v="2024"/>
    <x v="2"/>
    <x v="2"/>
    <x v="0"/>
    <x v="0"/>
    <x v="4"/>
    <x v="4"/>
    <n v="18"/>
    <n v="193"/>
    <n v="3474"/>
  </r>
  <r>
    <x v="22"/>
    <n v="2024"/>
    <x v="10"/>
    <x v="0"/>
    <x v="1"/>
    <x v="1"/>
    <x v="3"/>
    <x v="4"/>
    <n v="11"/>
    <n v="64"/>
    <n v="704"/>
  </r>
  <r>
    <x v="208"/>
    <n v="2024"/>
    <x v="2"/>
    <x v="2"/>
    <x v="7"/>
    <x v="1"/>
    <x v="4"/>
    <x v="2"/>
    <n v="16"/>
    <n v="133"/>
    <n v="2128"/>
  </r>
  <r>
    <x v="209"/>
    <n v="2024"/>
    <x v="8"/>
    <x v="1"/>
    <x v="9"/>
    <x v="0"/>
    <x v="1"/>
    <x v="4"/>
    <n v="17"/>
    <n v="52"/>
    <n v="884"/>
  </r>
  <r>
    <x v="136"/>
    <n v="2024"/>
    <x v="6"/>
    <x v="0"/>
    <x v="5"/>
    <x v="2"/>
    <x v="2"/>
    <x v="4"/>
    <n v="5"/>
    <n v="38"/>
    <n v="190"/>
  </r>
  <r>
    <x v="210"/>
    <n v="2024"/>
    <x v="5"/>
    <x v="3"/>
    <x v="5"/>
    <x v="2"/>
    <x v="1"/>
    <x v="4"/>
    <n v="12"/>
    <n v="63"/>
    <n v="756"/>
  </r>
  <r>
    <x v="211"/>
    <n v="2024"/>
    <x v="9"/>
    <x v="1"/>
    <x v="8"/>
    <x v="2"/>
    <x v="3"/>
    <x v="3"/>
    <n v="11"/>
    <n v="157"/>
    <n v="1727"/>
  </r>
  <r>
    <x v="212"/>
    <n v="2024"/>
    <x v="7"/>
    <x v="2"/>
    <x v="0"/>
    <x v="2"/>
    <x v="1"/>
    <x v="2"/>
    <n v="15"/>
    <n v="33"/>
    <n v="495"/>
  </r>
  <r>
    <x v="59"/>
    <n v="2024"/>
    <x v="11"/>
    <x v="3"/>
    <x v="6"/>
    <x v="1"/>
    <x v="3"/>
    <x v="4"/>
    <n v="3"/>
    <n v="187"/>
    <n v="561"/>
  </r>
  <r>
    <x v="213"/>
    <n v="2024"/>
    <x v="11"/>
    <x v="3"/>
    <x v="7"/>
    <x v="0"/>
    <x v="3"/>
    <x v="2"/>
    <n v="1"/>
    <n v="131"/>
    <n v="131"/>
  </r>
  <r>
    <x v="209"/>
    <n v="2024"/>
    <x v="8"/>
    <x v="1"/>
    <x v="0"/>
    <x v="2"/>
    <x v="3"/>
    <x v="1"/>
    <n v="16"/>
    <n v="104"/>
    <n v="1664"/>
  </r>
  <r>
    <x v="12"/>
    <n v="2024"/>
    <x v="1"/>
    <x v="1"/>
    <x v="8"/>
    <x v="1"/>
    <x v="3"/>
    <x v="1"/>
    <n v="2"/>
    <n v="128"/>
    <n v="256"/>
  </r>
  <r>
    <x v="214"/>
    <n v="2024"/>
    <x v="10"/>
    <x v="0"/>
    <x v="2"/>
    <x v="2"/>
    <x v="3"/>
    <x v="4"/>
    <n v="2"/>
    <n v="101"/>
    <n v="202"/>
  </r>
  <r>
    <x v="77"/>
    <n v="2024"/>
    <x v="9"/>
    <x v="1"/>
    <x v="0"/>
    <x v="0"/>
    <x v="2"/>
    <x v="2"/>
    <n v="3"/>
    <n v="32"/>
    <n v="96"/>
  </r>
  <r>
    <x v="215"/>
    <n v="2024"/>
    <x v="0"/>
    <x v="0"/>
    <x v="9"/>
    <x v="1"/>
    <x v="4"/>
    <x v="2"/>
    <n v="8"/>
    <n v="171"/>
    <n v="1368"/>
  </r>
  <r>
    <x v="216"/>
    <n v="2024"/>
    <x v="9"/>
    <x v="1"/>
    <x v="7"/>
    <x v="0"/>
    <x v="0"/>
    <x v="2"/>
    <n v="15"/>
    <n v="63"/>
    <n v="945"/>
  </r>
  <r>
    <x v="217"/>
    <n v="2024"/>
    <x v="1"/>
    <x v="1"/>
    <x v="8"/>
    <x v="0"/>
    <x v="4"/>
    <x v="3"/>
    <n v="7"/>
    <n v="74"/>
    <n v="518"/>
  </r>
  <r>
    <x v="175"/>
    <n v="2024"/>
    <x v="6"/>
    <x v="0"/>
    <x v="2"/>
    <x v="1"/>
    <x v="3"/>
    <x v="1"/>
    <n v="6"/>
    <n v="90"/>
    <n v="540"/>
  </r>
  <r>
    <x v="218"/>
    <n v="2024"/>
    <x v="6"/>
    <x v="0"/>
    <x v="3"/>
    <x v="1"/>
    <x v="2"/>
    <x v="2"/>
    <n v="9"/>
    <n v="112"/>
    <n v="1008"/>
  </r>
  <r>
    <x v="219"/>
    <n v="2024"/>
    <x v="10"/>
    <x v="0"/>
    <x v="8"/>
    <x v="1"/>
    <x v="1"/>
    <x v="2"/>
    <n v="1"/>
    <n v="152"/>
    <n v="152"/>
  </r>
  <r>
    <x v="220"/>
    <n v="2024"/>
    <x v="2"/>
    <x v="2"/>
    <x v="3"/>
    <x v="1"/>
    <x v="2"/>
    <x v="3"/>
    <n v="8"/>
    <n v="131"/>
    <n v="1048"/>
  </r>
  <r>
    <x v="185"/>
    <n v="2024"/>
    <x v="0"/>
    <x v="0"/>
    <x v="7"/>
    <x v="1"/>
    <x v="3"/>
    <x v="3"/>
    <n v="3"/>
    <n v="45"/>
    <n v="135"/>
  </r>
  <r>
    <x v="221"/>
    <n v="2024"/>
    <x v="9"/>
    <x v="1"/>
    <x v="5"/>
    <x v="1"/>
    <x v="2"/>
    <x v="2"/>
    <n v="4"/>
    <n v="95"/>
    <n v="380"/>
  </r>
  <r>
    <x v="222"/>
    <n v="2024"/>
    <x v="2"/>
    <x v="2"/>
    <x v="8"/>
    <x v="1"/>
    <x v="2"/>
    <x v="0"/>
    <n v="15"/>
    <n v="197"/>
    <n v="2955"/>
  </r>
  <r>
    <x v="192"/>
    <n v="2024"/>
    <x v="10"/>
    <x v="0"/>
    <x v="1"/>
    <x v="2"/>
    <x v="3"/>
    <x v="2"/>
    <n v="6"/>
    <n v="174"/>
    <n v="1044"/>
  </r>
  <r>
    <x v="173"/>
    <n v="2024"/>
    <x v="11"/>
    <x v="3"/>
    <x v="3"/>
    <x v="0"/>
    <x v="2"/>
    <x v="2"/>
    <n v="15"/>
    <n v="148"/>
    <n v="2220"/>
  </r>
  <r>
    <x v="30"/>
    <n v="2024"/>
    <x v="10"/>
    <x v="0"/>
    <x v="9"/>
    <x v="1"/>
    <x v="0"/>
    <x v="3"/>
    <n v="3"/>
    <n v="191"/>
    <n v="573"/>
  </r>
  <r>
    <x v="157"/>
    <n v="2024"/>
    <x v="2"/>
    <x v="2"/>
    <x v="1"/>
    <x v="2"/>
    <x v="0"/>
    <x v="3"/>
    <n v="14"/>
    <n v="153"/>
    <n v="2142"/>
  </r>
  <r>
    <x v="223"/>
    <n v="2024"/>
    <x v="5"/>
    <x v="3"/>
    <x v="4"/>
    <x v="2"/>
    <x v="2"/>
    <x v="2"/>
    <n v="14"/>
    <n v="173"/>
    <n v="2422"/>
  </r>
  <r>
    <x v="224"/>
    <n v="2024"/>
    <x v="1"/>
    <x v="1"/>
    <x v="4"/>
    <x v="2"/>
    <x v="1"/>
    <x v="2"/>
    <n v="4"/>
    <n v="131"/>
    <n v="524"/>
  </r>
  <r>
    <x v="225"/>
    <n v="2024"/>
    <x v="8"/>
    <x v="1"/>
    <x v="2"/>
    <x v="0"/>
    <x v="3"/>
    <x v="2"/>
    <n v="12"/>
    <n v="95"/>
    <n v="1140"/>
  </r>
  <r>
    <x v="125"/>
    <n v="2024"/>
    <x v="5"/>
    <x v="3"/>
    <x v="5"/>
    <x v="1"/>
    <x v="0"/>
    <x v="3"/>
    <n v="17"/>
    <n v="42"/>
    <n v="714"/>
  </r>
  <r>
    <x v="45"/>
    <n v="2024"/>
    <x v="8"/>
    <x v="1"/>
    <x v="7"/>
    <x v="2"/>
    <x v="1"/>
    <x v="2"/>
    <n v="7"/>
    <n v="140"/>
    <n v="980"/>
  </r>
  <r>
    <x v="226"/>
    <n v="2024"/>
    <x v="8"/>
    <x v="1"/>
    <x v="8"/>
    <x v="0"/>
    <x v="2"/>
    <x v="2"/>
    <n v="9"/>
    <n v="188"/>
    <n v="1692"/>
  </r>
  <r>
    <x v="124"/>
    <n v="2024"/>
    <x v="11"/>
    <x v="3"/>
    <x v="6"/>
    <x v="0"/>
    <x v="1"/>
    <x v="4"/>
    <n v="3"/>
    <n v="63"/>
    <n v="189"/>
  </r>
  <r>
    <x v="227"/>
    <n v="2024"/>
    <x v="10"/>
    <x v="0"/>
    <x v="9"/>
    <x v="0"/>
    <x v="4"/>
    <x v="0"/>
    <n v="13"/>
    <n v="68"/>
    <n v="884"/>
  </r>
  <r>
    <x v="228"/>
    <n v="2024"/>
    <x v="5"/>
    <x v="3"/>
    <x v="3"/>
    <x v="2"/>
    <x v="0"/>
    <x v="1"/>
    <n v="15"/>
    <n v="165"/>
    <n v="2475"/>
  </r>
  <r>
    <x v="229"/>
    <n v="2024"/>
    <x v="8"/>
    <x v="1"/>
    <x v="7"/>
    <x v="1"/>
    <x v="2"/>
    <x v="0"/>
    <n v="18"/>
    <n v="149"/>
    <n v="2682"/>
  </r>
  <r>
    <x v="53"/>
    <n v="2024"/>
    <x v="2"/>
    <x v="2"/>
    <x v="1"/>
    <x v="2"/>
    <x v="3"/>
    <x v="4"/>
    <n v="19"/>
    <n v="155"/>
    <n v="2945"/>
  </r>
  <r>
    <x v="230"/>
    <n v="2024"/>
    <x v="6"/>
    <x v="0"/>
    <x v="4"/>
    <x v="2"/>
    <x v="2"/>
    <x v="1"/>
    <n v="1"/>
    <n v="84"/>
    <n v="84"/>
  </r>
  <r>
    <x v="121"/>
    <n v="2024"/>
    <x v="6"/>
    <x v="0"/>
    <x v="9"/>
    <x v="1"/>
    <x v="3"/>
    <x v="2"/>
    <n v="6"/>
    <n v="56"/>
    <n v="336"/>
  </r>
  <r>
    <x v="52"/>
    <n v="2024"/>
    <x v="0"/>
    <x v="0"/>
    <x v="6"/>
    <x v="1"/>
    <x v="2"/>
    <x v="4"/>
    <n v="2"/>
    <n v="147"/>
    <n v="294"/>
  </r>
  <r>
    <x v="231"/>
    <n v="2024"/>
    <x v="1"/>
    <x v="1"/>
    <x v="8"/>
    <x v="1"/>
    <x v="1"/>
    <x v="2"/>
    <n v="14"/>
    <n v="82"/>
    <n v="1148"/>
  </r>
  <r>
    <x v="232"/>
    <n v="2024"/>
    <x v="8"/>
    <x v="1"/>
    <x v="2"/>
    <x v="0"/>
    <x v="1"/>
    <x v="3"/>
    <n v="6"/>
    <n v="68"/>
    <n v="408"/>
  </r>
  <r>
    <x v="216"/>
    <n v="2024"/>
    <x v="9"/>
    <x v="1"/>
    <x v="6"/>
    <x v="1"/>
    <x v="1"/>
    <x v="4"/>
    <n v="14"/>
    <n v="94"/>
    <n v="1316"/>
  </r>
  <r>
    <x v="8"/>
    <n v="2024"/>
    <x v="7"/>
    <x v="2"/>
    <x v="9"/>
    <x v="2"/>
    <x v="4"/>
    <x v="3"/>
    <n v="4"/>
    <n v="174"/>
    <n v="696"/>
  </r>
  <r>
    <x v="217"/>
    <n v="2024"/>
    <x v="1"/>
    <x v="1"/>
    <x v="6"/>
    <x v="1"/>
    <x v="3"/>
    <x v="4"/>
    <n v="8"/>
    <n v="187"/>
    <n v="1496"/>
  </r>
  <r>
    <x v="34"/>
    <n v="2024"/>
    <x v="11"/>
    <x v="3"/>
    <x v="9"/>
    <x v="2"/>
    <x v="1"/>
    <x v="4"/>
    <n v="3"/>
    <n v="42"/>
    <n v="126"/>
  </r>
  <r>
    <x v="186"/>
    <n v="2024"/>
    <x v="10"/>
    <x v="0"/>
    <x v="9"/>
    <x v="0"/>
    <x v="4"/>
    <x v="3"/>
    <n v="19"/>
    <n v="50"/>
    <n v="950"/>
  </r>
  <r>
    <x v="233"/>
    <n v="2024"/>
    <x v="4"/>
    <x v="2"/>
    <x v="0"/>
    <x v="2"/>
    <x v="3"/>
    <x v="1"/>
    <n v="14"/>
    <n v="176"/>
    <n v="2464"/>
  </r>
  <r>
    <x v="88"/>
    <n v="2024"/>
    <x v="3"/>
    <x v="3"/>
    <x v="3"/>
    <x v="2"/>
    <x v="2"/>
    <x v="0"/>
    <n v="17"/>
    <n v="82"/>
    <n v="1394"/>
  </r>
  <r>
    <x v="32"/>
    <n v="2024"/>
    <x v="4"/>
    <x v="2"/>
    <x v="4"/>
    <x v="1"/>
    <x v="4"/>
    <x v="2"/>
    <n v="8"/>
    <n v="48"/>
    <n v="384"/>
  </r>
  <r>
    <x v="234"/>
    <n v="2024"/>
    <x v="6"/>
    <x v="0"/>
    <x v="0"/>
    <x v="1"/>
    <x v="0"/>
    <x v="4"/>
    <n v="14"/>
    <n v="86"/>
    <n v="1204"/>
  </r>
  <r>
    <x v="15"/>
    <n v="2024"/>
    <x v="6"/>
    <x v="0"/>
    <x v="8"/>
    <x v="2"/>
    <x v="4"/>
    <x v="2"/>
    <n v="6"/>
    <n v="54"/>
    <n v="324"/>
  </r>
  <r>
    <x v="23"/>
    <n v="2024"/>
    <x v="8"/>
    <x v="1"/>
    <x v="0"/>
    <x v="1"/>
    <x v="4"/>
    <x v="3"/>
    <n v="16"/>
    <n v="60"/>
    <n v="960"/>
  </r>
  <r>
    <x v="213"/>
    <n v="2024"/>
    <x v="11"/>
    <x v="3"/>
    <x v="5"/>
    <x v="0"/>
    <x v="3"/>
    <x v="2"/>
    <n v="19"/>
    <n v="110"/>
    <n v="2090"/>
  </r>
  <r>
    <x v="217"/>
    <n v="2024"/>
    <x v="1"/>
    <x v="1"/>
    <x v="5"/>
    <x v="0"/>
    <x v="2"/>
    <x v="3"/>
    <n v="14"/>
    <n v="52"/>
    <n v="728"/>
  </r>
  <r>
    <x v="235"/>
    <n v="2024"/>
    <x v="9"/>
    <x v="1"/>
    <x v="4"/>
    <x v="1"/>
    <x v="0"/>
    <x v="2"/>
    <n v="19"/>
    <n v="61"/>
    <n v="1159"/>
  </r>
  <r>
    <x v="149"/>
    <n v="2024"/>
    <x v="10"/>
    <x v="0"/>
    <x v="6"/>
    <x v="0"/>
    <x v="1"/>
    <x v="0"/>
    <n v="3"/>
    <n v="103"/>
    <n v="309"/>
  </r>
  <r>
    <x v="30"/>
    <n v="2024"/>
    <x v="10"/>
    <x v="0"/>
    <x v="3"/>
    <x v="1"/>
    <x v="1"/>
    <x v="0"/>
    <n v="10"/>
    <n v="39"/>
    <n v="390"/>
  </r>
  <r>
    <x v="168"/>
    <n v="2024"/>
    <x v="8"/>
    <x v="1"/>
    <x v="4"/>
    <x v="2"/>
    <x v="4"/>
    <x v="0"/>
    <n v="19"/>
    <n v="83"/>
    <n v="1577"/>
  </r>
  <r>
    <x v="2"/>
    <n v="2024"/>
    <x v="2"/>
    <x v="2"/>
    <x v="9"/>
    <x v="2"/>
    <x v="3"/>
    <x v="0"/>
    <n v="9"/>
    <n v="81"/>
    <n v="729"/>
  </r>
  <r>
    <x v="59"/>
    <n v="2024"/>
    <x v="11"/>
    <x v="3"/>
    <x v="1"/>
    <x v="0"/>
    <x v="3"/>
    <x v="0"/>
    <n v="13"/>
    <n v="177"/>
    <n v="2301"/>
  </r>
  <r>
    <x v="107"/>
    <n v="2024"/>
    <x v="0"/>
    <x v="0"/>
    <x v="3"/>
    <x v="1"/>
    <x v="1"/>
    <x v="0"/>
    <n v="7"/>
    <n v="189"/>
    <n v="1323"/>
  </r>
  <r>
    <x v="53"/>
    <n v="2024"/>
    <x v="2"/>
    <x v="2"/>
    <x v="3"/>
    <x v="1"/>
    <x v="0"/>
    <x v="3"/>
    <n v="14"/>
    <n v="143"/>
    <n v="2002"/>
  </r>
  <r>
    <x v="50"/>
    <n v="2024"/>
    <x v="11"/>
    <x v="3"/>
    <x v="9"/>
    <x v="0"/>
    <x v="2"/>
    <x v="4"/>
    <n v="9"/>
    <n v="43"/>
    <n v="387"/>
  </r>
  <r>
    <x v="179"/>
    <n v="2024"/>
    <x v="11"/>
    <x v="3"/>
    <x v="9"/>
    <x v="2"/>
    <x v="0"/>
    <x v="2"/>
    <n v="19"/>
    <n v="185"/>
    <n v="3515"/>
  </r>
  <r>
    <x v="134"/>
    <n v="2024"/>
    <x v="0"/>
    <x v="0"/>
    <x v="2"/>
    <x v="0"/>
    <x v="2"/>
    <x v="0"/>
    <n v="15"/>
    <n v="139"/>
    <n v="2085"/>
  </r>
  <r>
    <x v="109"/>
    <n v="2024"/>
    <x v="5"/>
    <x v="3"/>
    <x v="4"/>
    <x v="2"/>
    <x v="1"/>
    <x v="3"/>
    <n v="14"/>
    <n v="82"/>
    <n v="1148"/>
  </r>
  <r>
    <x v="0"/>
    <n v="2024"/>
    <x v="0"/>
    <x v="0"/>
    <x v="9"/>
    <x v="1"/>
    <x v="2"/>
    <x v="3"/>
    <n v="6"/>
    <n v="181"/>
    <n v="1086"/>
  </r>
  <r>
    <x v="236"/>
    <n v="2024"/>
    <x v="4"/>
    <x v="2"/>
    <x v="5"/>
    <x v="2"/>
    <x v="3"/>
    <x v="3"/>
    <n v="4"/>
    <n v="108"/>
    <n v="432"/>
  </r>
  <r>
    <x v="237"/>
    <n v="2024"/>
    <x v="2"/>
    <x v="2"/>
    <x v="8"/>
    <x v="0"/>
    <x v="4"/>
    <x v="4"/>
    <n v="8"/>
    <n v="51"/>
    <n v="408"/>
  </r>
  <r>
    <x v="197"/>
    <n v="2024"/>
    <x v="1"/>
    <x v="1"/>
    <x v="1"/>
    <x v="1"/>
    <x v="4"/>
    <x v="2"/>
    <n v="17"/>
    <n v="59"/>
    <n v="1003"/>
  </r>
  <r>
    <x v="238"/>
    <n v="2024"/>
    <x v="1"/>
    <x v="1"/>
    <x v="4"/>
    <x v="0"/>
    <x v="1"/>
    <x v="4"/>
    <n v="9"/>
    <n v="33"/>
    <n v="297"/>
  </r>
  <r>
    <x v="239"/>
    <n v="2024"/>
    <x v="11"/>
    <x v="3"/>
    <x v="7"/>
    <x v="0"/>
    <x v="3"/>
    <x v="1"/>
    <n v="1"/>
    <n v="88"/>
    <n v="88"/>
  </r>
  <r>
    <x v="224"/>
    <n v="2024"/>
    <x v="1"/>
    <x v="1"/>
    <x v="5"/>
    <x v="2"/>
    <x v="0"/>
    <x v="3"/>
    <n v="14"/>
    <n v="37"/>
    <n v="518"/>
  </r>
  <r>
    <x v="240"/>
    <n v="2024"/>
    <x v="8"/>
    <x v="1"/>
    <x v="6"/>
    <x v="0"/>
    <x v="3"/>
    <x v="1"/>
    <n v="11"/>
    <n v="41"/>
    <n v="451"/>
  </r>
  <r>
    <x v="172"/>
    <n v="2024"/>
    <x v="8"/>
    <x v="1"/>
    <x v="9"/>
    <x v="2"/>
    <x v="4"/>
    <x v="0"/>
    <n v="3"/>
    <n v="148"/>
    <n v="444"/>
  </r>
  <r>
    <x v="165"/>
    <n v="2024"/>
    <x v="6"/>
    <x v="0"/>
    <x v="7"/>
    <x v="1"/>
    <x v="4"/>
    <x v="0"/>
    <n v="9"/>
    <n v="188"/>
    <n v="1692"/>
  </r>
  <r>
    <x v="241"/>
    <n v="2024"/>
    <x v="2"/>
    <x v="2"/>
    <x v="9"/>
    <x v="2"/>
    <x v="3"/>
    <x v="4"/>
    <n v="14"/>
    <n v="63"/>
    <n v="882"/>
  </r>
  <r>
    <x v="167"/>
    <n v="2024"/>
    <x v="6"/>
    <x v="0"/>
    <x v="3"/>
    <x v="1"/>
    <x v="3"/>
    <x v="2"/>
    <n v="9"/>
    <n v="111"/>
    <n v="999"/>
  </r>
  <r>
    <x v="60"/>
    <n v="2024"/>
    <x v="0"/>
    <x v="0"/>
    <x v="5"/>
    <x v="2"/>
    <x v="4"/>
    <x v="1"/>
    <n v="4"/>
    <n v="127"/>
    <n v="508"/>
  </r>
  <r>
    <x v="194"/>
    <n v="2024"/>
    <x v="10"/>
    <x v="0"/>
    <x v="3"/>
    <x v="0"/>
    <x v="0"/>
    <x v="2"/>
    <n v="4"/>
    <n v="156"/>
    <n v="624"/>
  </r>
  <r>
    <x v="170"/>
    <n v="2024"/>
    <x v="6"/>
    <x v="0"/>
    <x v="2"/>
    <x v="2"/>
    <x v="1"/>
    <x v="4"/>
    <n v="8"/>
    <n v="104"/>
    <n v="832"/>
  </r>
  <r>
    <x v="242"/>
    <n v="2024"/>
    <x v="6"/>
    <x v="0"/>
    <x v="3"/>
    <x v="2"/>
    <x v="1"/>
    <x v="0"/>
    <n v="2"/>
    <n v="134"/>
    <n v="268"/>
  </r>
  <r>
    <x v="183"/>
    <n v="2024"/>
    <x v="0"/>
    <x v="0"/>
    <x v="2"/>
    <x v="1"/>
    <x v="3"/>
    <x v="2"/>
    <n v="9"/>
    <n v="78"/>
    <n v="702"/>
  </r>
  <r>
    <x v="243"/>
    <n v="2024"/>
    <x v="8"/>
    <x v="1"/>
    <x v="2"/>
    <x v="0"/>
    <x v="1"/>
    <x v="2"/>
    <n v="14"/>
    <n v="108"/>
    <n v="1512"/>
  </r>
  <r>
    <x v="244"/>
    <n v="2024"/>
    <x v="9"/>
    <x v="1"/>
    <x v="7"/>
    <x v="2"/>
    <x v="4"/>
    <x v="0"/>
    <n v="9"/>
    <n v="122"/>
    <n v="1098"/>
  </r>
  <r>
    <x v="52"/>
    <n v="2024"/>
    <x v="0"/>
    <x v="0"/>
    <x v="9"/>
    <x v="0"/>
    <x v="4"/>
    <x v="1"/>
    <n v="16"/>
    <n v="183"/>
    <n v="2928"/>
  </r>
  <r>
    <x v="213"/>
    <n v="2024"/>
    <x v="11"/>
    <x v="3"/>
    <x v="6"/>
    <x v="2"/>
    <x v="3"/>
    <x v="0"/>
    <n v="17"/>
    <n v="47"/>
    <n v="799"/>
  </r>
  <r>
    <x v="49"/>
    <n v="2024"/>
    <x v="1"/>
    <x v="1"/>
    <x v="3"/>
    <x v="2"/>
    <x v="3"/>
    <x v="2"/>
    <n v="16"/>
    <n v="125"/>
    <n v="2000"/>
  </r>
  <r>
    <x v="245"/>
    <n v="2024"/>
    <x v="7"/>
    <x v="2"/>
    <x v="5"/>
    <x v="0"/>
    <x v="3"/>
    <x v="1"/>
    <n v="12"/>
    <n v="67"/>
    <n v="804"/>
  </r>
  <r>
    <x v="246"/>
    <n v="2024"/>
    <x v="0"/>
    <x v="0"/>
    <x v="2"/>
    <x v="2"/>
    <x v="0"/>
    <x v="1"/>
    <n v="3"/>
    <n v="116"/>
    <n v="348"/>
  </r>
  <r>
    <x v="145"/>
    <n v="2024"/>
    <x v="8"/>
    <x v="1"/>
    <x v="9"/>
    <x v="0"/>
    <x v="1"/>
    <x v="0"/>
    <n v="11"/>
    <n v="117"/>
    <n v="1287"/>
  </r>
  <r>
    <x v="247"/>
    <n v="2024"/>
    <x v="9"/>
    <x v="1"/>
    <x v="1"/>
    <x v="2"/>
    <x v="3"/>
    <x v="2"/>
    <n v="14"/>
    <n v="79"/>
    <n v="1106"/>
  </r>
  <r>
    <x v="218"/>
    <n v="2024"/>
    <x v="6"/>
    <x v="0"/>
    <x v="4"/>
    <x v="1"/>
    <x v="2"/>
    <x v="4"/>
    <n v="18"/>
    <n v="37"/>
    <n v="666"/>
  </r>
  <r>
    <x v="86"/>
    <n v="2024"/>
    <x v="6"/>
    <x v="0"/>
    <x v="7"/>
    <x v="0"/>
    <x v="2"/>
    <x v="2"/>
    <n v="5"/>
    <n v="198"/>
    <n v="990"/>
  </r>
  <r>
    <x v="213"/>
    <n v="2024"/>
    <x v="11"/>
    <x v="3"/>
    <x v="6"/>
    <x v="2"/>
    <x v="4"/>
    <x v="3"/>
    <n v="16"/>
    <n v="163"/>
    <n v="2608"/>
  </r>
  <r>
    <x v="7"/>
    <n v="2024"/>
    <x v="6"/>
    <x v="0"/>
    <x v="0"/>
    <x v="2"/>
    <x v="1"/>
    <x v="4"/>
    <n v="5"/>
    <n v="98"/>
    <n v="490"/>
  </r>
  <r>
    <x v="248"/>
    <n v="2024"/>
    <x v="5"/>
    <x v="3"/>
    <x v="7"/>
    <x v="1"/>
    <x v="3"/>
    <x v="1"/>
    <n v="3"/>
    <n v="150"/>
    <n v="450"/>
  </r>
  <r>
    <x v="249"/>
    <n v="2024"/>
    <x v="7"/>
    <x v="2"/>
    <x v="1"/>
    <x v="0"/>
    <x v="2"/>
    <x v="4"/>
    <n v="12"/>
    <n v="93"/>
    <n v="1116"/>
  </r>
  <r>
    <x v="250"/>
    <n v="2024"/>
    <x v="9"/>
    <x v="1"/>
    <x v="4"/>
    <x v="2"/>
    <x v="1"/>
    <x v="1"/>
    <n v="1"/>
    <n v="186"/>
    <n v="186"/>
  </r>
  <r>
    <x v="119"/>
    <n v="2024"/>
    <x v="0"/>
    <x v="0"/>
    <x v="1"/>
    <x v="1"/>
    <x v="4"/>
    <x v="1"/>
    <n v="9"/>
    <n v="185"/>
    <n v="1665"/>
  </r>
  <r>
    <x v="156"/>
    <n v="2024"/>
    <x v="6"/>
    <x v="0"/>
    <x v="3"/>
    <x v="2"/>
    <x v="0"/>
    <x v="4"/>
    <n v="9"/>
    <n v="168"/>
    <n v="1512"/>
  </r>
  <r>
    <x v="251"/>
    <n v="2024"/>
    <x v="0"/>
    <x v="0"/>
    <x v="2"/>
    <x v="0"/>
    <x v="1"/>
    <x v="1"/>
    <n v="4"/>
    <n v="150"/>
    <n v="600"/>
  </r>
  <r>
    <x v="99"/>
    <n v="2024"/>
    <x v="11"/>
    <x v="3"/>
    <x v="6"/>
    <x v="2"/>
    <x v="1"/>
    <x v="1"/>
    <n v="3"/>
    <n v="94"/>
    <n v="282"/>
  </r>
  <r>
    <x v="44"/>
    <n v="2024"/>
    <x v="3"/>
    <x v="3"/>
    <x v="8"/>
    <x v="2"/>
    <x v="0"/>
    <x v="3"/>
    <n v="17"/>
    <n v="136"/>
    <n v="2312"/>
  </r>
  <r>
    <x v="75"/>
    <n v="2024"/>
    <x v="7"/>
    <x v="2"/>
    <x v="2"/>
    <x v="2"/>
    <x v="1"/>
    <x v="2"/>
    <n v="2"/>
    <n v="176"/>
    <n v="352"/>
  </r>
  <r>
    <x v="252"/>
    <n v="2024"/>
    <x v="2"/>
    <x v="2"/>
    <x v="8"/>
    <x v="2"/>
    <x v="4"/>
    <x v="2"/>
    <n v="1"/>
    <n v="166"/>
    <n v="166"/>
  </r>
  <r>
    <x v="5"/>
    <n v="2024"/>
    <x v="4"/>
    <x v="2"/>
    <x v="4"/>
    <x v="1"/>
    <x v="4"/>
    <x v="3"/>
    <n v="8"/>
    <n v="184"/>
    <n v="1472"/>
  </r>
  <r>
    <x v="20"/>
    <n v="2024"/>
    <x v="4"/>
    <x v="2"/>
    <x v="9"/>
    <x v="1"/>
    <x v="0"/>
    <x v="4"/>
    <n v="13"/>
    <n v="191"/>
    <n v="2483"/>
  </r>
  <r>
    <x v="253"/>
    <n v="2024"/>
    <x v="3"/>
    <x v="3"/>
    <x v="0"/>
    <x v="0"/>
    <x v="3"/>
    <x v="0"/>
    <n v="15"/>
    <n v="129"/>
    <n v="1935"/>
  </r>
  <r>
    <x v="254"/>
    <n v="2024"/>
    <x v="9"/>
    <x v="1"/>
    <x v="5"/>
    <x v="1"/>
    <x v="2"/>
    <x v="0"/>
    <n v="8"/>
    <n v="111"/>
    <n v="888"/>
  </r>
  <r>
    <x v="1"/>
    <n v="2024"/>
    <x v="1"/>
    <x v="1"/>
    <x v="2"/>
    <x v="1"/>
    <x v="3"/>
    <x v="0"/>
    <n v="12"/>
    <n v="172"/>
    <n v="2064"/>
  </r>
  <r>
    <x v="157"/>
    <n v="2024"/>
    <x v="2"/>
    <x v="2"/>
    <x v="6"/>
    <x v="0"/>
    <x v="1"/>
    <x v="3"/>
    <n v="12"/>
    <n v="80"/>
    <n v="960"/>
  </r>
  <r>
    <x v="255"/>
    <n v="2024"/>
    <x v="3"/>
    <x v="3"/>
    <x v="1"/>
    <x v="1"/>
    <x v="2"/>
    <x v="3"/>
    <n v="14"/>
    <n v="170"/>
    <n v="2380"/>
  </r>
  <r>
    <x v="256"/>
    <n v="2024"/>
    <x v="10"/>
    <x v="0"/>
    <x v="6"/>
    <x v="1"/>
    <x v="0"/>
    <x v="1"/>
    <n v="15"/>
    <n v="112"/>
    <n v="1680"/>
  </r>
  <r>
    <x v="165"/>
    <n v="2024"/>
    <x v="6"/>
    <x v="0"/>
    <x v="4"/>
    <x v="0"/>
    <x v="0"/>
    <x v="0"/>
    <n v="15"/>
    <n v="141"/>
    <n v="2115"/>
  </r>
  <r>
    <x v="129"/>
    <n v="2024"/>
    <x v="3"/>
    <x v="3"/>
    <x v="8"/>
    <x v="0"/>
    <x v="2"/>
    <x v="4"/>
    <n v="9"/>
    <n v="85"/>
    <n v="765"/>
  </r>
  <r>
    <x v="257"/>
    <n v="2024"/>
    <x v="4"/>
    <x v="2"/>
    <x v="1"/>
    <x v="0"/>
    <x v="4"/>
    <x v="4"/>
    <n v="19"/>
    <n v="194"/>
    <n v="3686"/>
  </r>
  <r>
    <x v="258"/>
    <n v="2024"/>
    <x v="9"/>
    <x v="1"/>
    <x v="5"/>
    <x v="2"/>
    <x v="2"/>
    <x v="0"/>
    <n v="8"/>
    <n v="174"/>
    <n v="1392"/>
  </r>
  <r>
    <x v="153"/>
    <n v="2024"/>
    <x v="7"/>
    <x v="2"/>
    <x v="5"/>
    <x v="2"/>
    <x v="1"/>
    <x v="0"/>
    <n v="19"/>
    <n v="186"/>
    <n v="3534"/>
  </r>
  <r>
    <x v="253"/>
    <n v="2024"/>
    <x v="3"/>
    <x v="3"/>
    <x v="2"/>
    <x v="0"/>
    <x v="4"/>
    <x v="0"/>
    <n v="6"/>
    <n v="190"/>
    <n v="1140"/>
  </r>
  <r>
    <x v="239"/>
    <n v="2024"/>
    <x v="11"/>
    <x v="3"/>
    <x v="4"/>
    <x v="0"/>
    <x v="0"/>
    <x v="3"/>
    <n v="19"/>
    <n v="89"/>
    <n v="1691"/>
  </r>
  <r>
    <x v="259"/>
    <n v="2024"/>
    <x v="0"/>
    <x v="0"/>
    <x v="9"/>
    <x v="0"/>
    <x v="2"/>
    <x v="3"/>
    <n v="4"/>
    <n v="149"/>
    <n v="596"/>
  </r>
  <r>
    <x v="193"/>
    <n v="2024"/>
    <x v="7"/>
    <x v="2"/>
    <x v="4"/>
    <x v="2"/>
    <x v="3"/>
    <x v="3"/>
    <n v="7"/>
    <n v="167"/>
    <n v="1169"/>
  </r>
  <r>
    <x v="260"/>
    <n v="2024"/>
    <x v="4"/>
    <x v="2"/>
    <x v="8"/>
    <x v="2"/>
    <x v="3"/>
    <x v="2"/>
    <n v="4"/>
    <n v="52"/>
    <n v="208"/>
  </r>
  <r>
    <x v="64"/>
    <n v="2024"/>
    <x v="7"/>
    <x v="2"/>
    <x v="6"/>
    <x v="1"/>
    <x v="1"/>
    <x v="4"/>
    <n v="12"/>
    <n v="178"/>
    <n v="2136"/>
  </r>
  <r>
    <x v="261"/>
    <n v="2024"/>
    <x v="1"/>
    <x v="1"/>
    <x v="5"/>
    <x v="1"/>
    <x v="3"/>
    <x v="4"/>
    <n v="13"/>
    <n v="42"/>
    <n v="546"/>
  </r>
  <r>
    <x v="173"/>
    <n v="2024"/>
    <x v="11"/>
    <x v="3"/>
    <x v="6"/>
    <x v="0"/>
    <x v="2"/>
    <x v="1"/>
    <n v="3"/>
    <n v="130"/>
    <n v="390"/>
  </r>
  <r>
    <x v="11"/>
    <n v="2024"/>
    <x v="0"/>
    <x v="0"/>
    <x v="6"/>
    <x v="2"/>
    <x v="2"/>
    <x v="3"/>
    <n v="12"/>
    <n v="190"/>
    <n v="2280"/>
  </r>
  <r>
    <x v="91"/>
    <n v="2024"/>
    <x v="9"/>
    <x v="1"/>
    <x v="6"/>
    <x v="2"/>
    <x v="3"/>
    <x v="2"/>
    <n v="2"/>
    <n v="53"/>
    <n v="106"/>
  </r>
  <r>
    <x v="180"/>
    <n v="2024"/>
    <x v="2"/>
    <x v="2"/>
    <x v="5"/>
    <x v="2"/>
    <x v="2"/>
    <x v="2"/>
    <n v="2"/>
    <n v="137"/>
    <n v="274"/>
  </r>
  <r>
    <x v="120"/>
    <n v="2024"/>
    <x v="7"/>
    <x v="2"/>
    <x v="7"/>
    <x v="0"/>
    <x v="1"/>
    <x v="4"/>
    <n v="9"/>
    <n v="40"/>
    <n v="360"/>
  </r>
  <r>
    <x v="262"/>
    <n v="2024"/>
    <x v="1"/>
    <x v="1"/>
    <x v="3"/>
    <x v="1"/>
    <x v="4"/>
    <x v="3"/>
    <n v="1"/>
    <n v="46"/>
    <n v="46"/>
  </r>
  <r>
    <x v="263"/>
    <n v="2024"/>
    <x v="5"/>
    <x v="3"/>
    <x v="8"/>
    <x v="0"/>
    <x v="1"/>
    <x v="1"/>
    <n v="8"/>
    <n v="54"/>
    <n v="432"/>
  </r>
  <r>
    <x v="264"/>
    <n v="2024"/>
    <x v="2"/>
    <x v="2"/>
    <x v="7"/>
    <x v="1"/>
    <x v="1"/>
    <x v="3"/>
    <n v="6"/>
    <n v="123"/>
    <n v="738"/>
  </r>
  <r>
    <x v="265"/>
    <n v="2024"/>
    <x v="5"/>
    <x v="3"/>
    <x v="8"/>
    <x v="1"/>
    <x v="2"/>
    <x v="0"/>
    <n v="6"/>
    <n v="50"/>
    <n v="300"/>
  </r>
  <r>
    <x v="222"/>
    <n v="2024"/>
    <x v="2"/>
    <x v="2"/>
    <x v="1"/>
    <x v="0"/>
    <x v="4"/>
    <x v="3"/>
    <n v="18"/>
    <n v="113"/>
    <n v="2034"/>
  </r>
  <r>
    <x v="162"/>
    <n v="2024"/>
    <x v="8"/>
    <x v="1"/>
    <x v="4"/>
    <x v="1"/>
    <x v="2"/>
    <x v="0"/>
    <n v="17"/>
    <n v="169"/>
    <n v="2873"/>
  </r>
  <r>
    <x v="11"/>
    <n v="2024"/>
    <x v="0"/>
    <x v="0"/>
    <x v="4"/>
    <x v="1"/>
    <x v="0"/>
    <x v="0"/>
    <n v="12"/>
    <n v="66"/>
    <n v="792"/>
  </r>
  <r>
    <x v="250"/>
    <n v="2024"/>
    <x v="9"/>
    <x v="1"/>
    <x v="0"/>
    <x v="2"/>
    <x v="2"/>
    <x v="1"/>
    <n v="6"/>
    <n v="71"/>
    <n v="426"/>
  </r>
  <r>
    <x v="149"/>
    <n v="2024"/>
    <x v="10"/>
    <x v="0"/>
    <x v="4"/>
    <x v="1"/>
    <x v="2"/>
    <x v="4"/>
    <n v="8"/>
    <n v="174"/>
    <n v="1392"/>
  </r>
  <r>
    <x v="212"/>
    <n v="2024"/>
    <x v="7"/>
    <x v="2"/>
    <x v="5"/>
    <x v="0"/>
    <x v="2"/>
    <x v="3"/>
    <n v="19"/>
    <n v="130"/>
    <n v="2470"/>
  </r>
  <r>
    <x v="264"/>
    <n v="2024"/>
    <x v="2"/>
    <x v="2"/>
    <x v="9"/>
    <x v="0"/>
    <x v="4"/>
    <x v="0"/>
    <n v="10"/>
    <n v="77"/>
    <n v="770"/>
  </r>
  <r>
    <x v="170"/>
    <n v="2024"/>
    <x v="6"/>
    <x v="0"/>
    <x v="2"/>
    <x v="1"/>
    <x v="2"/>
    <x v="3"/>
    <n v="1"/>
    <n v="132"/>
    <n v="132"/>
  </r>
  <r>
    <x v="119"/>
    <n v="2024"/>
    <x v="0"/>
    <x v="0"/>
    <x v="0"/>
    <x v="2"/>
    <x v="4"/>
    <x v="4"/>
    <n v="13"/>
    <n v="57"/>
    <n v="741"/>
  </r>
  <r>
    <x v="108"/>
    <n v="2024"/>
    <x v="2"/>
    <x v="2"/>
    <x v="2"/>
    <x v="2"/>
    <x v="3"/>
    <x v="4"/>
    <n v="17"/>
    <n v="70"/>
    <n v="1190"/>
  </r>
  <r>
    <x v="162"/>
    <n v="2024"/>
    <x v="8"/>
    <x v="1"/>
    <x v="8"/>
    <x v="1"/>
    <x v="0"/>
    <x v="2"/>
    <n v="3"/>
    <n v="128"/>
    <n v="384"/>
  </r>
  <r>
    <x v="201"/>
    <n v="2024"/>
    <x v="5"/>
    <x v="3"/>
    <x v="2"/>
    <x v="1"/>
    <x v="4"/>
    <x v="4"/>
    <n v="8"/>
    <n v="76"/>
    <n v="608"/>
  </r>
  <r>
    <x v="266"/>
    <n v="2024"/>
    <x v="5"/>
    <x v="3"/>
    <x v="2"/>
    <x v="0"/>
    <x v="3"/>
    <x v="1"/>
    <n v="14"/>
    <n v="175"/>
    <n v="2450"/>
  </r>
  <r>
    <x v="77"/>
    <n v="2024"/>
    <x v="9"/>
    <x v="1"/>
    <x v="0"/>
    <x v="1"/>
    <x v="4"/>
    <x v="0"/>
    <n v="3"/>
    <n v="134"/>
    <n v="4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d v="2024-04-12T00:00:00"/>
    <n v="2024"/>
    <n v="4"/>
    <n v="2"/>
    <s v="Jaqueta"/>
    <x v="0"/>
    <s v="Carla"/>
    <x v="0"/>
    <n v="3"/>
    <n v="113"/>
    <n v="339"/>
    <x v="0"/>
    <x v="0"/>
    <n v="339"/>
  </r>
  <r>
    <d v="2024-12-14T00:00:00"/>
    <n v="2024"/>
    <n v="12"/>
    <n v="4"/>
    <s v="Calça Jeans"/>
    <x v="0"/>
    <s v="Elisa"/>
    <x v="1"/>
    <n v="7"/>
    <n v="85"/>
    <n v="595"/>
    <x v="1"/>
    <x v="0"/>
    <n v="595"/>
  </r>
  <r>
    <d v="2024-09-27T00:00:00"/>
    <n v="2024"/>
    <n v="9"/>
    <n v="3"/>
    <s v="Camiseta"/>
    <x v="1"/>
    <s v="Bruno"/>
    <x v="2"/>
    <n v="17"/>
    <n v="170"/>
    <n v="2890"/>
    <x v="2"/>
    <x v="1"/>
    <n v="2890"/>
  </r>
  <r>
    <d v="2024-04-16T00:00:00"/>
    <n v="2024"/>
    <n v="4"/>
    <n v="2"/>
    <s v="Boné"/>
    <x v="2"/>
    <s v="Daniel"/>
    <x v="2"/>
    <n v="12"/>
    <n v="78"/>
    <n v="936"/>
    <x v="2"/>
    <x v="2"/>
    <n v="936"/>
  </r>
  <r>
    <d v="2024-03-12T00:00:00"/>
    <n v="2024"/>
    <n v="3"/>
    <n v="1"/>
    <s v="Regata"/>
    <x v="2"/>
    <s v="Bruno"/>
    <x v="0"/>
    <n v="9"/>
    <n v="75"/>
    <n v="675"/>
    <x v="0"/>
    <x v="2"/>
    <n v="675"/>
  </r>
  <r>
    <d v="2024-07-07T00:00:00"/>
    <n v="2024"/>
    <n v="7"/>
    <n v="3"/>
    <s v="Calça Jeans"/>
    <x v="2"/>
    <s v="Elisa"/>
    <x v="3"/>
    <n v="15"/>
    <n v="142"/>
    <n v="2130"/>
    <x v="3"/>
    <x v="2"/>
    <n v="2130"/>
  </r>
  <r>
    <d v="2024-01-21T00:00:00"/>
    <n v="2024"/>
    <n v="1"/>
    <n v="1"/>
    <s v="Tênis"/>
    <x v="0"/>
    <s v="Ana"/>
    <x v="4"/>
    <n v="18"/>
    <n v="165"/>
    <n v="2970"/>
    <x v="4"/>
    <x v="0"/>
    <n v="2970"/>
  </r>
  <r>
    <d v="2024-04-12T00:00:00"/>
    <n v="2024"/>
    <n v="4"/>
    <n v="2"/>
    <s v="Camiseta"/>
    <x v="0"/>
    <s v="Ana"/>
    <x v="3"/>
    <n v="13"/>
    <n v="72"/>
    <n v="936"/>
    <x v="3"/>
    <x v="0"/>
    <n v="936"/>
  </r>
  <r>
    <d v="2024-05-01T00:00:00"/>
    <n v="2024"/>
    <n v="5"/>
    <n v="2"/>
    <s v="Camiseta"/>
    <x v="2"/>
    <s v="Elisa"/>
    <x v="3"/>
    <n v="8"/>
    <n v="177"/>
    <n v="1416"/>
    <x v="3"/>
    <x v="2"/>
    <n v="1416"/>
  </r>
  <r>
    <d v="2024-08-02T00:00:00"/>
    <n v="2024"/>
    <n v="8"/>
    <n v="3"/>
    <s v="Tênis"/>
    <x v="2"/>
    <s v="Ana"/>
    <x v="0"/>
    <n v="14"/>
    <n v="153"/>
    <n v="2142"/>
    <x v="0"/>
    <x v="2"/>
    <n v="2142"/>
  </r>
  <r>
    <d v="2024-11-26T00:00:00"/>
    <n v="2024"/>
    <n v="11"/>
    <n v="4"/>
    <s v="Moletom"/>
    <x v="2"/>
    <s v="Ana"/>
    <x v="5"/>
    <n v="8"/>
    <n v="126"/>
    <n v="1008"/>
    <x v="5"/>
    <x v="2"/>
    <n v="1008"/>
  </r>
  <r>
    <d v="2024-03-28T00:00:00"/>
    <n v="2024"/>
    <n v="3"/>
    <n v="1"/>
    <s v="Tênis"/>
    <x v="0"/>
    <s v="Ana"/>
    <x v="0"/>
    <n v="14"/>
    <n v="119"/>
    <n v="1666"/>
    <x v="0"/>
    <x v="0"/>
    <n v="1666"/>
  </r>
  <r>
    <d v="2024-04-09T00:00:00"/>
    <n v="2024"/>
    <n v="4"/>
    <n v="2"/>
    <s v="Camiseta"/>
    <x v="2"/>
    <s v="Daniel"/>
    <x v="0"/>
    <n v="7"/>
    <n v="68"/>
    <n v="476"/>
    <x v="0"/>
    <x v="2"/>
    <n v="476"/>
  </r>
  <r>
    <d v="2024-12-25T00:00:00"/>
    <n v="2024"/>
    <n v="12"/>
    <n v="4"/>
    <s v="Camiseta"/>
    <x v="2"/>
    <s v="Daniel"/>
    <x v="2"/>
    <n v="12"/>
    <n v="114"/>
    <n v="1368"/>
    <x v="2"/>
    <x v="2"/>
    <n v="1368"/>
  </r>
  <r>
    <d v="2024-05-31T00:00:00"/>
    <n v="2024"/>
    <n v="5"/>
    <n v="2"/>
    <s v="Regata"/>
    <x v="1"/>
    <s v="Carla"/>
    <x v="0"/>
    <n v="11"/>
    <n v="91"/>
    <n v="1001"/>
    <x v="0"/>
    <x v="1"/>
    <n v="1001"/>
  </r>
  <r>
    <d v="2024-05-10T00:00:00"/>
    <n v="2024"/>
    <n v="5"/>
    <n v="2"/>
    <s v="Cinto"/>
    <x v="1"/>
    <s v="Bruno"/>
    <x v="2"/>
    <n v="11"/>
    <n v="135"/>
    <n v="1485"/>
    <x v="2"/>
    <x v="1"/>
    <n v="1485"/>
  </r>
  <r>
    <d v="2024-05-29T00:00:00"/>
    <n v="2024"/>
    <n v="5"/>
    <n v="2"/>
    <s v="Calça Jeans"/>
    <x v="0"/>
    <s v="Elisa"/>
    <x v="2"/>
    <n v="13"/>
    <n v="136"/>
    <n v="1768"/>
    <x v="2"/>
    <x v="0"/>
    <n v="1768"/>
  </r>
  <r>
    <d v="2024-11-04T00:00:00"/>
    <n v="2024"/>
    <n v="11"/>
    <n v="4"/>
    <s v="Tênis"/>
    <x v="2"/>
    <s v="Elisa"/>
    <x v="0"/>
    <n v="18"/>
    <n v="83"/>
    <n v="1494"/>
    <x v="0"/>
    <x v="2"/>
    <n v="1494"/>
  </r>
  <r>
    <d v="2024-09-14T00:00:00"/>
    <n v="2024"/>
    <n v="9"/>
    <n v="3"/>
    <s v="Calça Jeans"/>
    <x v="2"/>
    <s v="Elisa"/>
    <x v="1"/>
    <n v="2"/>
    <n v="155"/>
    <n v="310"/>
    <x v="1"/>
    <x v="2"/>
    <n v="310"/>
  </r>
  <r>
    <d v="2024-12-09T00:00:00"/>
    <n v="2024"/>
    <n v="12"/>
    <n v="4"/>
    <s v="Tênis"/>
    <x v="1"/>
    <s v="Carla"/>
    <x v="4"/>
    <n v="15"/>
    <n v="38"/>
    <n v="570"/>
    <x v="4"/>
    <x v="1"/>
    <n v="570"/>
  </r>
  <r>
    <d v="2024-10-20T00:00:00"/>
    <n v="2024"/>
    <n v="10"/>
    <n v="4"/>
    <s v="Jaqueta"/>
    <x v="0"/>
    <s v="Daniel"/>
    <x v="3"/>
    <n v="18"/>
    <n v="117"/>
    <n v="2106"/>
    <x v="3"/>
    <x v="0"/>
    <n v="2106"/>
  </r>
  <r>
    <d v="2024-07-10T00:00:00"/>
    <n v="2024"/>
    <n v="7"/>
    <n v="3"/>
    <s v="Camiseta"/>
    <x v="1"/>
    <s v="Carla"/>
    <x v="2"/>
    <n v="15"/>
    <n v="66"/>
    <n v="990"/>
    <x v="2"/>
    <x v="1"/>
    <n v="990"/>
  </r>
  <r>
    <d v="2024-10-03T00:00:00"/>
    <n v="2024"/>
    <n v="10"/>
    <n v="4"/>
    <s v="Cinto"/>
    <x v="1"/>
    <s v="Elisa"/>
    <x v="4"/>
    <n v="19"/>
    <n v="78"/>
    <n v="1482"/>
    <x v="4"/>
    <x v="1"/>
    <n v="1482"/>
  </r>
  <r>
    <d v="2024-06-09T00:00:00"/>
    <n v="2024"/>
    <n v="6"/>
    <n v="2"/>
    <s v="Regata"/>
    <x v="1"/>
    <s v="Bruno"/>
    <x v="1"/>
    <n v="12"/>
    <n v="70"/>
    <n v="840"/>
    <x v="1"/>
    <x v="1"/>
    <n v="840"/>
  </r>
  <r>
    <d v="2024-11-09T00:00:00"/>
    <n v="2024"/>
    <n v="11"/>
    <n v="4"/>
    <s v="Cinto"/>
    <x v="1"/>
    <s v="Ana"/>
    <x v="3"/>
    <n v="13"/>
    <n v="46"/>
    <n v="598"/>
    <x v="3"/>
    <x v="1"/>
    <n v="598"/>
  </r>
  <r>
    <d v="2024-01-22T00:00:00"/>
    <n v="2024"/>
    <n v="1"/>
    <n v="1"/>
    <s v="Cinto"/>
    <x v="3"/>
    <s v="Daniel"/>
    <x v="3"/>
    <n v="11"/>
    <n v="117"/>
    <n v="1287"/>
    <x v="3"/>
    <x v="3"/>
    <n v="1287"/>
  </r>
  <r>
    <d v="2024-09-09T00:00:00"/>
    <n v="2024"/>
    <n v="9"/>
    <n v="3"/>
    <s v="Cinto"/>
    <x v="2"/>
    <s v="Daniel"/>
    <x v="2"/>
    <n v="5"/>
    <n v="50"/>
    <n v="250"/>
    <x v="2"/>
    <x v="2"/>
    <n v="250"/>
  </r>
  <r>
    <d v="2024-08-23T00:00:00"/>
    <n v="2024"/>
    <n v="8"/>
    <n v="3"/>
    <s v="Calça Jeans"/>
    <x v="1"/>
    <s v="Carla"/>
    <x v="0"/>
    <n v="1"/>
    <n v="80"/>
    <n v="80"/>
    <x v="0"/>
    <x v="1"/>
    <n v="80"/>
  </r>
  <r>
    <d v="2024-12-10T00:00:00"/>
    <n v="2024"/>
    <n v="12"/>
    <n v="4"/>
    <s v="Tênis"/>
    <x v="0"/>
    <s v="Daniel"/>
    <x v="1"/>
    <n v="3"/>
    <n v="88"/>
    <n v="264"/>
    <x v="1"/>
    <x v="0"/>
    <n v="264"/>
  </r>
  <r>
    <d v="2024-02-18T00:00:00"/>
    <n v="2024"/>
    <n v="2"/>
    <n v="1"/>
    <s v="Meia"/>
    <x v="0"/>
    <s v="Elisa"/>
    <x v="2"/>
    <n v="19"/>
    <n v="196"/>
    <n v="3724"/>
    <x v="2"/>
    <x v="0"/>
    <n v="3724"/>
  </r>
  <r>
    <d v="2024-02-28T00:00:00"/>
    <n v="2024"/>
    <n v="2"/>
    <n v="1"/>
    <s v="Jaqueta"/>
    <x v="0"/>
    <s v="Elisa"/>
    <x v="1"/>
    <n v="7"/>
    <n v="70"/>
    <n v="490"/>
    <x v="1"/>
    <x v="0"/>
    <n v="490"/>
  </r>
  <r>
    <d v="2024-06-18T00:00:00"/>
    <n v="2024"/>
    <n v="6"/>
    <n v="2"/>
    <s v="Boné"/>
    <x v="0"/>
    <s v="Carla"/>
    <x v="0"/>
    <n v="12"/>
    <n v="68"/>
    <n v="816"/>
    <x v="0"/>
    <x v="0"/>
    <n v="816"/>
  </r>
  <r>
    <d v="2024-07-06T00:00:00"/>
    <n v="2024"/>
    <n v="7"/>
    <n v="3"/>
    <s v="Cinto"/>
    <x v="1"/>
    <s v="Elisa"/>
    <x v="0"/>
    <n v="15"/>
    <n v="170"/>
    <n v="2550"/>
    <x v="0"/>
    <x v="1"/>
    <n v="2550"/>
  </r>
  <r>
    <d v="2024-09-27T00:00:00"/>
    <n v="2024"/>
    <n v="9"/>
    <n v="3"/>
    <s v="Moletom"/>
    <x v="2"/>
    <s v="Bruno"/>
    <x v="2"/>
    <n v="5"/>
    <n v="40"/>
    <n v="200"/>
    <x v="2"/>
    <x v="2"/>
    <n v="200"/>
  </r>
  <r>
    <d v="2024-07-08T00:00:00"/>
    <n v="2024"/>
    <n v="7"/>
    <n v="3"/>
    <s v="Calça Jeans"/>
    <x v="0"/>
    <s v="Carla"/>
    <x v="0"/>
    <n v="15"/>
    <n v="176"/>
    <n v="2640"/>
    <x v="0"/>
    <x v="0"/>
    <n v="2640"/>
  </r>
  <r>
    <d v="2024-06-23T00:00:00"/>
    <n v="2024"/>
    <n v="6"/>
    <n v="2"/>
    <s v="Regata"/>
    <x v="1"/>
    <s v="Bruno"/>
    <x v="4"/>
    <n v="8"/>
    <n v="168"/>
    <n v="1344"/>
    <x v="4"/>
    <x v="1"/>
    <n v="1344"/>
  </r>
  <r>
    <d v="2024-02-20T00:00:00"/>
    <n v="2024"/>
    <n v="2"/>
    <n v="1"/>
    <s v="Boné"/>
    <x v="0"/>
    <s v="Ana"/>
    <x v="3"/>
    <n v="10"/>
    <n v="106"/>
    <n v="1060"/>
    <x v="3"/>
    <x v="0"/>
    <n v="1060"/>
  </r>
  <r>
    <d v="2024-12-29T00:00:00"/>
    <n v="2024"/>
    <n v="12"/>
    <n v="4"/>
    <s v="Meia"/>
    <x v="0"/>
    <s v="Bruno"/>
    <x v="2"/>
    <n v="16"/>
    <n v="156"/>
    <n v="2496"/>
    <x v="2"/>
    <x v="0"/>
    <n v="2496"/>
  </r>
  <r>
    <d v="2024-02-24T00:00:00"/>
    <n v="2024"/>
    <n v="2"/>
    <n v="1"/>
    <s v="Moletom"/>
    <x v="1"/>
    <s v="Ana"/>
    <x v="1"/>
    <n v="8"/>
    <n v="75"/>
    <n v="600"/>
    <x v="1"/>
    <x v="1"/>
    <n v="600"/>
  </r>
  <r>
    <d v="2024-08-31T00:00:00"/>
    <n v="2024"/>
    <n v="8"/>
    <n v="3"/>
    <s v="Meia"/>
    <x v="2"/>
    <s v="Ana"/>
    <x v="4"/>
    <n v="1"/>
    <n v="74"/>
    <n v="74"/>
    <x v="4"/>
    <x v="2"/>
    <n v="74"/>
  </r>
  <r>
    <d v="2024-11-15T00:00:00"/>
    <n v="2024"/>
    <n v="11"/>
    <n v="4"/>
    <s v="Boné"/>
    <x v="2"/>
    <s v="Bruno"/>
    <x v="2"/>
    <n v="12"/>
    <n v="30"/>
    <n v="360"/>
    <x v="2"/>
    <x v="2"/>
    <n v="360"/>
  </r>
  <r>
    <d v="2024-05-10T00:00:00"/>
    <n v="2024"/>
    <n v="5"/>
    <n v="2"/>
    <s v="Cinto"/>
    <x v="1"/>
    <s v="Carla"/>
    <x v="0"/>
    <n v="5"/>
    <n v="197"/>
    <n v="985"/>
    <x v="0"/>
    <x v="1"/>
    <n v="985"/>
  </r>
  <r>
    <d v="2024-11-02T00:00:00"/>
    <n v="2024"/>
    <n v="11"/>
    <n v="4"/>
    <s v="Moletom"/>
    <x v="2"/>
    <s v="Elisa"/>
    <x v="0"/>
    <n v="3"/>
    <n v="137"/>
    <n v="411"/>
    <x v="0"/>
    <x v="2"/>
    <n v="411"/>
  </r>
  <r>
    <d v="2024-05-14T00:00:00"/>
    <n v="2024"/>
    <n v="5"/>
    <n v="2"/>
    <s v="Meia"/>
    <x v="1"/>
    <s v="Elisa"/>
    <x v="0"/>
    <n v="1"/>
    <n v="48"/>
    <n v="48"/>
    <x v="0"/>
    <x v="1"/>
    <n v="48"/>
  </r>
  <r>
    <d v="2024-01-21T00:00:00"/>
    <n v="2024"/>
    <n v="1"/>
    <n v="1"/>
    <s v="Regata"/>
    <x v="1"/>
    <s v="Ana"/>
    <x v="0"/>
    <n v="4"/>
    <n v="105"/>
    <n v="420"/>
    <x v="0"/>
    <x v="1"/>
    <n v="420"/>
  </r>
  <r>
    <d v="2024-11-24T00:00:00"/>
    <n v="2024"/>
    <n v="11"/>
    <n v="4"/>
    <s v="Tênis"/>
    <x v="1"/>
    <s v="Ana"/>
    <x v="1"/>
    <n v="8"/>
    <n v="101"/>
    <n v="808"/>
    <x v="1"/>
    <x v="1"/>
    <n v="808"/>
  </r>
  <r>
    <d v="2024-06-15T00:00:00"/>
    <n v="2024"/>
    <n v="6"/>
    <n v="2"/>
    <s v="Camiseta"/>
    <x v="2"/>
    <s v="Carla"/>
    <x v="4"/>
    <n v="3"/>
    <n v="138"/>
    <n v="414"/>
    <x v="4"/>
    <x v="2"/>
    <n v="414"/>
  </r>
  <r>
    <d v="2024-09-30T00:00:00"/>
    <n v="2024"/>
    <n v="9"/>
    <n v="3"/>
    <s v="Tênis"/>
    <x v="1"/>
    <s v="Daniel"/>
    <x v="3"/>
    <n v="10"/>
    <n v="41"/>
    <n v="410"/>
    <x v="3"/>
    <x v="1"/>
    <n v="410"/>
  </r>
  <r>
    <d v="2024-03-29T00:00:00"/>
    <n v="2024"/>
    <n v="3"/>
    <n v="1"/>
    <s v="Boné"/>
    <x v="0"/>
    <s v="Bruno"/>
    <x v="1"/>
    <n v="2"/>
    <n v="190"/>
    <n v="380"/>
    <x v="1"/>
    <x v="0"/>
    <n v="380"/>
  </r>
  <r>
    <d v="2024-11-11T00:00:00"/>
    <n v="2024"/>
    <n v="11"/>
    <n v="4"/>
    <s v="Calça Jeans"/>
    <x v="2"/>
    <s v="Ana"/>
    <x v="1"/>
    <n v="11"/>
    <n v="74"/>
    <n v="814"/>
    <x v="1"/>
    <x v="2"/>
    <n v="814"/>
  </r>
  <r>
    <d v="2024-01-14T00:00:00"/>
    <n v="2024"/>
    <n v="1"/>
    <n v="1"/>
    <s v="Camiseta"/>
    <x v="2"/>
    <s v="Elisa"/>
    <x v="3"/>
    <n v="10"/>
    <n v="119"/>
    <n v="-999"/>
    <x v="3"/>
    <x v="2"/>
    <n v="921.5"/>
  </r>
  <r>
    <d v="2024-08-29T00:00:00"/>
    <n v="2024"/>
    <n v="8"/>
    <n v="3"/>
    <s v="Jaqueta"/>
    <x v="2"/>
    <s v="Carla"/>
    <x v="3"/>
    <n v="14"/>
    <n v="132"/>
    <n v="1848"/>
    <x v="3"/>
    <x v="2"/>
    <n v="1848"/>
  </r>
  <r>
    <d v="2024-09-21T00:00:00"/>
    <n v="2024"/>
    <n v="9"/>
    <n v="3"/>
    <s v="Regata"/>
    <x v="2"/>
    <s v="Bruno"/>
    <x v="0"/>
    <n v="7"/>
    <n v="37"/>
    <n v="259"/>
    <x v="0"/>
    <x v="2"/>
    <n v="259"/>
  </r>
  <r>
    <d v="2024-12-11T00:00:00"/>
    <n v="2024"/>
    <n v="12"/>
    <n v="4"/>
    <s v="Jaqueta"/>
    <x v="0"/>
    <s v="Carla"/>
    <x v="1"/>
    <n v="2"/>
    <n v="182"/>
    <n v="364"/>
    <x v="1"/>
    <x v="0"/>
    <n v="364"/>
  </r>
  <r>
    <d v="2024-02-22T00:00:00"/>
    <n v="2024"/>
    <n v="2"/>
    <n v="1"/>
    <s v="Moletom"/>
    <x v="2"/>
    <s v="Bruno"/>
    <x v="2"/>
    <n v="9"/>
    <n v="120"/>
    <n v="1080"/>
    <x v="2"/>
    <x v="2"/>
    <n v="1080"/>
  </r>
  <r>
    <d v="2024-12-05T00:00:00"/>
    <n v="2024"/>
    <n v="12"/>
    <n v="4"/>
    <s v="Camiseta"/>
    <x v="2"/>
    <s v="Bruno"/>
    <x v="3"/>
    <n v="16"/>
    <n v="116"/>
    <n v="1856"/>
    <x v="3"/>
    <x v="2"/>
    <n v="1856"/>
  </r>
  <r>
    <d v="2024-04-01T00:00:00"/>
    <n v="2024"/>
    <n v="4"/>
    <n v="2"/>
    <s v="Jaqueta"/>
    <x v="1"/>
    <s v="Ana"/>
    <x v="3"/>
    <n v="13"/>
    <n v="187"/>
    <n v="2431"/>
    <x v="3"/>
    <x v="1"/>
    <n v="2431"/>
  </r>
  <r>
    <d v="2024-09-20T00:00:00"/>
    <n v="2024"/>
    <n v="9"/>
    <n v="3"/>
    <s v="Jaqueta"/>
    <x v="2"/>
    <s v="Carla"/>
    <x v="4"/>
    <n v="9"/>
    <n v="113"/>
    <n v="1017"/>
    <x v="4"/>
    <x v="2"/>
    <n v="1017"/>
  </r>
  <r>
    <d v="2024-02-04T00:00:00"/>
    <n v="2024"/>
    <n v="2"/>
    <n v="1"/>
    <s v="Meia"/>
    <x v="0"/>
    <s v="Carla"/>
    <x v="2"/>
    <n v="4"/>
    <n v="111"/>
    <n v="444"/>
    <x v="2"/>
    <x v="0"/>
    <n v="444"/>
  </r>
  <r>
    <d v="2024-07-24T00:00:00"/>
    <n v="2024"/>
    <n v="7"/>
    <n v="3"/>
    <s v="Tênis"/>
    <x v="0"/>
    <s v="Elisa"/>
    <x v="2"/>
    <n v="10"/>
    <n v="175"/>
    <n v="1750"/>
    <x v="2"/>
    <x v="0"/>
    <n v="1750"/>
  </r>
  <r>
    <d v="2024-03-21T00:00:00"/>
    <n v="2024"/>
    <n v="3"/>
    <n v="1"/>
    <s v="Meia"/>
    <x v="0"/>
    <s v="Elisa"/>
    <x v="3"/>
    <n v="12"/>
    <n v="97"/>
    <n v="1164"/>
    <x v="3"/>
    <x v="0"/>
    <n v="1164"/>
  </r>
  <r>
    <d v="2024-02-19T00:00:00"/>
    <n v="2024"/>
    <n v="2"/>
    <n v="1"/>
    <s v="Camiseta"/>
    <x v="0"/>
    <s v="Ana"/>
    <x v="0"/>
    <n v="17"/>
    <n v="190"/>
    <n v="3230"/>
    <x v="0"/>
    <x v="0"/>
    <n v="3230"/>
  </r>
  <r>
    <d v="2024-12-25T00:00:00"/>
    <n v="2024"/>
    <n v="12"/>
    <n v="4"/>
    <s v="Camiseta"/>
    <x v="2"/>
    <s v="Ana"/>
    <x v="4"/>
    <n v="14"/>
    <n v="156"/>
    <n v="2184"/>
    <x v="4"/>
    <x v="2"/>
    <n v="2184"/>
  </r>
  <r>
    <d v="2024-01-02T00:00:00"/>
    <n v="2024"/>
    <n v="1"/>
    <n v="1"/>
    <s v="Boné"/>
    <x v="2"/>
    <s v="Daniel"/>
    <x v="2"/>
    <n v="14"/>
    <n v="193"/>
    <n v="2702"/>
    <x v="2"/>
    <x v="2"/>
    <n v="2702"/>
  </r>
  <r>
    <d v="2024-02-23T00:00:00"/>
    <n v="2024"/>
    <n v="2"/>
    <n v="1"/>
    <s v="Meia"/>
    <x v="0"/>
    <s v="Elisa"/>
    <x v="3"/>
    <n v="2"/>
    <n v="111"/>
    <n v="222"/>
    <x v="3"/>
    <x v="0"/>
    <n v="222"/>
  </r>
  <r>
    <d v="2024-04-15T00:00:00"/>
    <n v="2024"/>
    <n v="4"/>
    <n v="2"/>
    <s v="Bermuda"/>
    <x v="0"/>
    <s v="Bruno"/>
    <x v="2"/>
    <n v="11"/>
    <n v="176"/>
    <n v="1936"/>
    <x v="2"/>
    <x v="0"/>
    <n v="1936"/>
  </r>
  <r>
    <d v="2024-09-16T00:00:00"/>
    <n v="2024"/>
    <n v="9"/>
    <n v="3"/>
    <s v="Tênis"/>
    <x v="2"/>
    <s v="Carla"/>
    <x v="4"/>
    <n v="16"/>
    <n v="185"/>
    <n v="2960"/>
    <x v="4"/>
    <x v="2"/>
    <n v="2960"/>
  </r>
  <r>
    <d v="2024-11-05T00:00:00"/>
    <n v="2024"/>
    <n v="11"/>
    <n v="4"/>
    <s v="Camiseta"/>
    <x v="0"/>
    <s v="Ana"/>
    <x v="4"/>
    <n v="19"/>
    <n v="197"/>
    <n v="3743"/>
    <x v="4"/>
    <x v="0"/>
    <n v="3743"/>
  </r>
  <r>
    <d v="2024-07-09T00:00:00"/>
    <n v="2024"/>
    <n v="7"/>
    <n v="3"/>
    <s v="Boné"/>
    <x v="1"/>
    <s v="Carla"/>
    <x v="1"/>
    <n v="6"/>
    <n v="113"/>
    <n v="678"/>
    <x v="1"/>
    <x v="1"/>
    <n v="678"/>
  </r>
  <r>
    <d v="2024-08-05T00:00:00"/>
    <n v="2024"/>
    <n v="8"/>
    <n v="3"/>
    <s v="Meia"/>
    <x v="0"/>
    <s v="Carla"/>
    <x v="3"/>
    <n v="19"/>
    <n v="142"/>
    <n v="2698"/>
    <x v="3"/>
    <x v="0"/>
    <n v="2698"/>
  </r>
  <r>
    <d v="2024-02-13T00:00:00"/>
    <n v="2024"/>
    <n v="2"/>
    <n v="1"/>
    <s v="Tênis"/>
    <x v="0"/>
    <s v="Daniel"/>
    <x v="4"/>
    <n v="5"/>
    <n v="105"/>
    <n v="525"/>
    <x v="4"/>
    <x v="0"/>
    <n v="525"/>
  </r>
  <r>
    <d v="2024-06-10T00:00:00"/>
    <n v="2024"/>
    <n v="6"/>
    <n v="2"/>
    <s v="Meia"/>
    <x v="1"/>
    <s v="Elisa"/>
    <x v="1"/>
    <n v="4"/>
    <n v="151"/>
    <n v="604"/>
    <x v="1"/>
    <x v="1"/>
    <n v="604"/>
  </r>
  <r>
    <d v="2024-07-20T00:00:00"/>
    <n v="2024"/>
    <n v="7"/>
    <n v="3"/>
    <s v="Jaqueta"/>
    <x v="1"/>
    <s v="Ana"/>
    <x v="1"/>
    <n v="15"/>
    <n v="172"/>
    <n v="2580"/>
    <x v="1"/>
    <x v="1"/>
    <n v="2580"/>
  </r>
  <r>
    <d v="2024-09-26T00:00:00"/>
    <n v="2024"/>
    <n v="9"/>
    <n v="3"/>
    <s v="Boné"/>
    <x v="2"/>
    <s v="Carla"/>
    <x v="2"/>
    <n v="4"/>
    <n v="70"/>
    <n v="280"/>
    <x v="2"/>
    <x v="2"/>
    <n v="280"/>
  </r>
  <r>
    <d v="2024-12-16T00:00:00"/>
    <n v="2024"/>
    <n v="12"/>
    <n v="4"/>
    <s v="Tênis"/>
    <x v="2"/>
    <s v="Ana"/>
    <x v="2"/>
    <n v="10"/>
    <n v="196"/>
    <n v="1960"/>
    <x v="2"/>
    <x v="2"/>
    <n v="1960"/>
  </r>
  <r>
    <d v="2024-10-30T00:00:00"/>
    <n v="2024"/>
    <n v="10"/>
    <n v="4"/>
    <s v="Cinto"/>
    <x v="1"/>
    <s v="Bruno"/>
    <x v="1"/>
    <n v="3"/>
    <n v="31"/>
    <n v="93"/>
    <x v="1"/>
    <x v="1"/>
    <n v="93"/>
  </r>
  <r>
    <d v="2024-09-27T00:00:00"/>
    <n v="2024"/>
    <n v="9"/>
    <n v="3"/>
    <s v="Moletom"/>
    <x v="1"/>
    <s v="Daniel"/>
    <x v="2"/>
    <n v="5"/>
    <n v="58"/>
    <n v="290"/>
    <x v="2"/>
    <x v="1"/>
    <n v="290"/>
  </r>
  <r>
    <d v="2024-08-02T00:00:00"/>
    <n v="2024"/>
    <n v="8"/>
    <n v="3"/>
    <s v="Moletom"/>
    <x v="2"/>
    <s v="Bruno"/>
    <x v="4"/>
    <n v="6"/>
    <n v="134"/>
    <n v="804"/>
    <x v="4"/>
    <x v="2"/>
    <n v="804"/>
  </r>
  <r>
    <d v="2024-09-08T00:00:00"/>
    <n v="2024"/>
    <n v="9"/>
    <n v="3"/>
    <s v="Tênis"/>
    <x v="0"/>
    <s v="Ana"/>
    <x v="0"/>
    <n v="8"/>
    <n v="80"/>
    <n v="640"/>
    <x v="0"/>
    <x v="0"/>
    <n v="640"/>
  </r>
  <r>
    <d v="2024-07-08T00:00:00"/>
    <n v="2024"/>
    <n v="7"/>
    <n v="3"/>
    <s v="Meia"/>
    <x v="1"/>
    <s v="Ana"/>
    <x v="4"/>
    <n v="7"/>
    <n v="104"/>
    <n v="728"/>
    <x v="4"/>
    <x v="1"/>
    <n v="728"/>
  </r>
  <r>
    <d v="2024-10-22T00:00:00"/>
    <n v="2024"/>
    <n v="10"/>
    <n v="4"/>
    <s v="Boné"/>
    <x v="2"/>
    <s v="Elisa"/>
    <x v="1"/>
    <n v="10"/>
    <n v="39"/>
    <n v="390"/>
    <x v="1"/>
    <x v="2"/>
    <n v="390"/>
  </r>
  <r>
    <d v="2024-07-31T00:00:00"/>
    <n v="2024"/>
    <n v="7"/>
    <n v="3"/>
    <s v="Moletom"/>
    <x v="0"/>
    <s v="Carla"/>
    <x v="1"/>
    <n v="6"/>
    <n v="171"/>
    <n v="1026"/>
    <x v="1"/>
    <x v="0"/>
    <n v="1026"/>
  </r>
  <r>
    <d v="2024-07-26T00:00:00"/>
    <n v="2024"/>
    <n v="7"/>
    <n v="3"/>
    <s v="Boné"/>
    <x v="1"/>
    <s v="Carla"/>
    <x v="4"/>
    <n v="14"/>
    <n v="80"/>
    <n v="1120"/>
    <x v="4"/>
    <x v="1"/>
    <n v="1120"/>
  </r>
  <r>
    <d v="2024-08-24T00:00:00"/>
    <n v="2024"/>
    <n v="8"/>
    <n v="3"/>
    <s v="Moletom"/>
    <x v="0"/>
    <s v="Bruno"/>
    <x v="2"/>
    <n v="4"/>
    <n v="147"/>
    <n v="588"/>
    <x v="2"/>
    <x v="0"/>
    <n v="588"/>
  </r>
  <r>
    <d v="2024-12-03T00:00:00"/>
    <n v="2024"/>
    <n v="12"/>
    <n v="4"/>
    <s v="Jaqueta"/>
    <x v="2"/>
    <s v="Daniel"/>
    <x v="2"/>
    <n v="13"/>
    <n v="150"/>
    <n v="1950"/>
    <x v="2"/>
    <x v="2"/>
    <n v="1950"/>
  </r>
  <r>
    <d v="2024-02-22T00:00:00"/>
    <n v="2024"/>
    <n v="2"/>
    <n v="1"/>
    <s v="Meia"/>
    <x v="1"/>
    <s v="Carla"/>
    <x v="1"/>
    <n v="17"/>
    <n v="68"/>
    <n v="1156"/>
    <x v="1"/>
    <x v="1"/>
    <n v="1156"/>
  </r>
  <r>
    <d v="2024-10-06T00:00:00"/>
    <n v="2024"/>
    <n v="10"/>
    <n v="4"/>
    <s v="Jaqueta"/>
    <x v="0"/>
    <s v="Elisa"/>
    <x v="3"/>
    <n v="7"/>
    <n v="57"/>
    <n v="399"/>
    <x v="3"/>
    <x v="0"/>
    <n v="399"/>
  </r>
  <r>
    <d v="2024-08-04T00:00:00"/>
    <n v="2024"/>
    <n v="8"/>
    <n v="3"/>
    <s v="Moletom"/>
    <x v="1"/>
    <s v="Bruno"/>
    <x v="2"/>
    <n v="4"/>
    <n v="32"/>
    <n v="128"/>
    <x v="2"/>
    <x v="1"/>
    <n v="128"/>
  </r>
  <r>
    <d v="2024-09-08T00:00:00"/>
    <n v="2024"/>
    <n v="9"/>
    <n v="3"/>
    <s v="Cinto"/>
    <x v="0"/>
    <s v="Bruno"/>
    <x v="4"/>
    <n v="14"/>
    <n v="113"/>
    <n v="1582"/>
    <x v="4"/>
    <x v="0"/>
    <n v="1582"/>
  </r>
  <r>
    <d v="2024-07-06T00:00:00"/>
    <n v="2024"/>
    <n v="7"/>
    <n v="3"/>
    <s v="Cinto"/>
    <x v="2"/>
    <s v="Elisa"/>
    <x v="2"/>
    <n v="3"/>
    <n v="184"/>
    <n v="552"/>
    <x v="2"/>
    <x v="2"/>
    <n v="552"/>
  </r>
  <r>
    <d v="2024-02-10T00:00:00"/>
    <n v="2024"/>
    <n v="2"/>
    <n v="1"/>
    <s v="Jaqueta"/>
    <x v="2"/>
    <s v="Daniel"/>
    <x v="4"/>
    <n v="5"/>
    <n v="146"/>
    <n v="730"/>
    <x v="4"/>
    <x v="2"/>
    <n v="730"/>
  </r>
  <r>
    <d v="2024-06-05T00:00:00"/>
    <n v="2024"/>
    <n v="6"/>
    <n v="2"/>
    <s v="Cinto"/>
    <x v="1"/>
    <s v="Elisa"/>
    <x v="1"/>
    <n v="16"/>
    <n v="31"/>
    <n v="496"/>
    <x v="1"/>
    <x v="1"/>
    <n v="496"/>
  </r>
  <r>
    <d v="2024-01-15T00:00:00"/>
    <n v="2024"/>
    <n v="1"/>
    <n v="1"/>
    <s v="Moletom"/>
    <x v="0"/>
    <s v="Daniel"/>
    <x v="2"/>
    <n v="4"/>
    <n v="122"/>
    <n v="488"/>
    <x v="2"/>
    <x v="0"/>
    <n v="488"/>
  </r>
  <r>
    <d v="2024-10-27T00:00:00"/>
    <n v="2024"/>
    <n v="10"/>
    <n v="4"/>
    <s v="Tênis"/>
    <x v="1"/>
    <s v="Elisa"/>
    <x v="4"/>
    <n v="2"/>
    <n v="195"/>
    <n v="390"/>
    <x v="4"/>
    <x v="1"/>
    <n v="390"/>
  </r>
  <r>
    <d v="2024-03-05T00:00:00"/>
    <n v="2024"/>
    <n v="3"/>
    <n v="1"/>
    <s v="Jaqueta"/>
    <x v="1"/>
    <s v="Elisa"/>
    <x v="1"/>
    <n v="18"/>
    <n v="160"/>
    <n v="2880"/>
    <x v="1"/>
    <x v="1"/>
    <n v="2880"/>
  </r>
  <r>
    <d v="2024-12-10T00:00:00"/>
    <n v="2024"/>
    <n v="12"/>
    <n v="4"/>
    <s v="Calça Jeans"/>
    <x v="0"/>
    <s v="Ana"/>
    <x v="3"/>
    <n v="19"/>
    <n v="173"/>
    <n v="3287"/>
    <x v="3"/>
    <x v="0"/>
    <n v="3287"/>
  </r>
  <r>
    <d v="2024-11-22T00:00:00"/>
    <n v="2024"/>
    <n v="11"/>
    <n v="4"/>
    <s v="Meia"/>
    <x v="0"/>
    <s v="Bruno"/>
    <x v="4"/>
    <n v="19"/>
    <n v="123"/>
    <n v="2337"/>
    <x v="4"/>
    <x v="0"/>
    <n v="2337"/>
  </r>
  <r>
    <d v="2024-01-09T00:00:00"/>
    <n v="2024"/>
    <n v="1"/>
    <n v="1"/>
    <s v="Cinto"/>
    <x v="0"/>
    <s v="Elisa"/>
    <x v="3"/>
    <n v="17"/>
    <n v="69"/>
    <n v="1173"/>
    <x v="3"/>
    <x v="0"/>
    <n v="1173"/>
  </r>
  <r>
    <d v="2024-12-09T00:00:00"/>
    <n v="2024"/>
    <n v="12"/>
    <n v="4"/>
    <s v="Cinto"/>
    <x v="2"/>
    <s v="Elisa"/>
    <x v="3"/>
    <n v="14"/>
    <n v="31"/>
    <n v="434"/>
    <x v="3"/>
    <x v="2"/>
    <n v="434"/>
  </r>
  <r>
    <d v="2024-05-08T00:00:00"/>
    <n v="2024"/>
    <n v="5"/>
    <n v="2"/>
    <s v="Camiseta"/>
    <x v="1"/>
    <s v="Carla"/>
    <x v="0"/>
    <n v="19"/>
    <n v="110"/>
    <n v="2090"/>
    <x v="0"/>
    <x v="1"/>
    <n v="2090"/>
  </r>
  <r>
    <d v="2024-05-15T00:00:00"/>
    <n v="2024"/>
    <n v="5"/>
    <n v="2"/>
    <s v="Bermuda"/>
    <x v="1"/>
    <s v="Bruno"/>
    <x v="2"/>
    <n v="13"/>
    <n v="198"/>
    <n v="2574"/>
    <x v="2"/>
    <x v="1"/>
    <n v="2574"/>
  </r>
  <r>
    <d v="2024-03-03T00:00:00"/>
    <n v="2024"/>
    <n v="3"/>
    <n v="1"/>
    <s v="Jaqueta"/>
    <x v="2"/>
    <s v="Carla"/>
    <x v="4"/>
    <n v="12"/>
    <n v="41"/>
    <n v="492"/>
    <x v="4"/>
    <x v="2"/>
    <n v="492"/>
  </r>
  <r>
    <d v="2024-05-18T00:00:00"/>
    <n v="2024"/>
    <n v="5"/>
    <n v="2"/>
    <s v="Regata"/>
    <x v="0"/>
    <s v="Bruno"/>
    <x v="3"/>
    <n v="6"/>
    <n v="192"/>
    <n v="1152"/>
    <x v="3"/>
    <x v="0"/>
    <n v="1152"/>
  </r>
  <r>
    <d v="2024-03-21T00:00:00"/>
    <n v="2024"/>
    <n v="3"/>
    <n v="1"/>
    <s v="Cinto"/>
    <x v="2"/>
    <s v="Carla"/>
    <x v="0"/>
    <n v="4"/>
    <n v="94"/>
    <n v="376"/>
    <x v="0"/>
    <x v="2"/>
    <n v="376"/>
  </r>
  <r>
    <d v="2024-06-11T00:00:00"/>
    <n v="2024"/>
    <n v="6"/>
    <n v="2"/>
    <s v="Meia"/>
    <x v="2"/>
    <s v="Elisa"/>
    <x v="1"/>
    <n v="19"/>
    <n v="84"/>
    <n v="1596"/>
    <x v="1"/>
    <x v="2"/>
    <n v="1596"/>
  </r>
  <r>
    <d v="2024-10-15T00:00:00"/>
    <n v="2024"/>
    <n v="10"/>
    <n v="4"/>
    <s v="Calça Jeans"/>
    <x v="2"/>
    <s v="Elisa"/>
    <x v="4"/>
    <n v="16"/>
    <n v="74"/>
    <n v="1184"/>
    <x v="4"/>
    <x v="2"/>
    <n v="1184"/>
  </r>
  <r>
    <d v="2024-09-17T00:00:00"/>
    <n v="2024"/>
    <n v="9"/>
    <n v="3"/>
    <s v="Cinto"/>
    <x v="1"/>
    <s v="Ana"/>
    <x v="3"/>
    <n v="13"/>
    <n v="130"/>
    <n v="1690"/>
    <x v="3"/>
    <x v="1"/>
    <n v="1690"/>
  </r>
  <r>
    <d v="2024-08-18T00:00:00"/>
    <n v="2024"/>
    <n v="8"/>
    <n v="3"/>
    <s v="Calça Jeans"/>
    <x v="2"/>
    <s v="Carla"/>
    <x v="2"/>
    <n v="4"/>
    <n v="91"/>
    <n v="364"/>
    <x v="2"/>
    <x v="2"/>
    <n v="364"/>
  </r>
  <r>
    <d v="2024-02-10T00:00:00"/>
    <n v="2024"/>
    <n v="2"/>
    <n v="1"/>
    <s v="Moletom"/>
    <x v="1"/>
    <s v="Daniel"/>
    <x v="0"/>
    <n v="17"/>
    <n v="78"/>
    <n v="1326"/>
    <x v="0"/>
    <x v="1"/>
    <n v="1326"/>
  </r>
  <r>
    <d v="2024-01-28T00:00:00"/>
    <n v="2024"/>
    <n v="1"/>
    <n v="1"/>
    <s v="Moletom"/>
    <x v="1"/>
    <s v="Ana"/>
    <x v="3"/>
    <n v="1"/>
    <n v="156"/>
    <n v="156"/>
    <x v="3"/>
    <x v="1"/>
    <n v="156"/>
  </r>
  <r>
    <d v="2024-05-14T00:00:00"/>
    <n v="2024"/>
    <n v="5"/>
    <n v="2"/>
    <s v="Bermuda"/>
    <x v="1"/>
    <s v="Carla"/>
    <x v="2"/>
    <n v="18"/>
    <n v="182"/>
    <n v="3276"/>
    <x v="2"/>
    <x v="1"/>
    <n v="3276"/>
  </r>
  <r>
    <d v="2024-07-19T00:00:00"/>
    <n v="2024"/>
    <n v="7"/>
    <n v="3"/>
    <s v="Tênis"/>
    <x v="0"/>
    <s v="Carla"/>
    <x v="3"/>
    <n v="17"/>
    <n v="52"/>
    <n v="884"/>
    <x v="3"/>
    <x v="0"/>
    <n v="884"/>
  </r>
  <r>
    <d v="2024-11-23T00:00:00"/>
    <n v="2024"/>
    <n v="11"/>
    <n v="4"/>
    <s v="Regata"/>
    <x v="1"/>
    <s v="Ana"/>
    <x v="4"/>
    <n v="15"/>
    <n v="181"/>
    <n v="2715"/>
    <x v="4"/>
    <x v="1"/>
    <n v="2715"/>
  </r>
  <r>
    <d v="2024-09-24T00:00:00"/>
    <n v="2024"/>
    <n v="9"/>
    <n v="3"/>
    <s v="Camiseta"/>
    <x v="1"/>
    <s v="Elisa"/>
    <x v="4"/>
    <n v="11"/>
    <n v="67"/>
    <n v="737"/>
    <x v="4"/>
    <x v="1"/>
    <n v="737"/>
  </r>
  <r>
    <d v="2024-02-02T00:00:00"/>
    <n v="2024"/>
    <n v="2"/>
    <n v="1"/>
    <s v="Bermuda"/>
    <x v="0"/>
    <s v="Carla"/>
    <x v="4"/>
    <n v="13"/>
    <n v="57"/>
    <n v="741"/>
    <x v="4"/>
    <x v="0"/>
    <n v="741"/>
  </r>
  <r>
    <d v="2024-02-17T00:00:00"/>
    <n v="2024"/>
    <n v="2"/>
    <n v="1"/>
    <s v="Boné"/>
    <x v="1"/>
    <s v="Elisa"/>
    <x v="0"/>
    <n v="1"/>
    <n v="50"/>
    <n v="50"/>
    <x v="0"/>
    <x v="1"/>
    <n v="50"/>
  </r>
  <r>
    <d v="2024-03-02T00:00:00"/>
    <n v="2024"/>
    <n v="3"/>
    <n v="1"/>
    <s v="Camiseta"/>
    <x v="2"/>
    <s v="Ana"/>
    <x v="4"/>
    <n v="17"/>
    <n v="136"/>
    <n v="2312"/>
    <x v="4"/>
    <x v="2"/>
    <n v="2312"/>
  </r>
  <r>
    <d v="2024-08-03T00:00:00"/>
    <n v="2024"/>
    <n v="8"/>
    <n v="3"/>
    <s v="Jaqueta"/>
    <x v="2"/>
    <s v="Elisa"/>
    <x v="2"/>
    <n v="6"/>
    <n v="175"/>
    <n v="1050"/>
    <x v="2"/>
    <x v="2"/>
    <n v="1050"/>
  </r>
  <r>
    <d v="2024-10-19T00:00:00"/>
    <n v="2024"/>
    <n v="10"/>
    <n v="4"/>
    <s v="Meia"/>
    <x v="1"/>
    <s v="Bruno"/>
    <x v="3"/>
    <n v="4"/>
    <n v="193"/>
    <n v="772"/>
    <x v="3"/>
    <x v="1"/>
    <n v="772"/>
  </r>
  <r>
    <d v="2024-04-08T00:00:00"/>
    <n v="2024"/>
    <n v="4"/>
    <n v="2"/>
    <s v="Boné"/>
    <x v="0"/>
    <s v="Daniel"/>
    <x v="1"/>
    <n v="16"/>
    <n v="128"/>
    <n v="2048"/>
    <x v="1"/>
    <x v="0"/>
    <n v="2048"/>
  </r>
  <r>
    <d v="2024-06-20T00:00:00"/>
    <n v="2024"/>
    <n v="6"/>
    <n v="2"/>
    <s v="Boné"/>
    <x v="2"/>
    <s v="Carla"/>
    <x v="2"/>
    <n v="15"/>
    <n v="148"/>
    <n v="2220"/>
    <x v="2"/>
    <x v="2"/>
    <n v="2220"/>
  </r>
  <r>
    <d v="2024-12-25T00:00:00"/>
    <n v="2024"/>
    <n v="12"/>
    <n v="4"/>
    <s v="Bermuda"/>
    <x v="0"/>
    <s v="Daniel"/>
    <x v="2"/>
    <n v="15"/>
    <n v="102"/>
    <n v="1530"/>
    <x v="2"/>
    <x v="0"/>
    <n v="1530"/>
  </r>
  <r>
    <d v="2024-08-01T00:00:00"/>
    <n v="2024"/>
    <n v="8"/>
    <n v="3"/>
    <s v="Tênis"/>
    <x v="0"/>
    <s v="Elisa"/>
    <x v="4"/>
    <n v="6"/>
    <n v="151"/>
    <n v="906"/>
    <x v="4"/>
    <x v="0"/>
    <n v="906"/>
  </r>
  <r>
    <d v="2024-02-04T00:00:00"/>
    <n v="2024"/>
    <n v="2"/>
    <n v="1"/>
    <s v="Bermuda"/>
    <x v="2"/>
    <s v="Carla"/>
    <x v="0"/>
    <n v="15"/>
    <n v="59"/>
    <n v="885"/>
    <x v="0"/>
    <x v="2"/>
    <n v="885"/>
  </r>
  <r>
    <d v="2024-08-14T00:00:00"/>
    <n v="2024"/>
    <n v="8"/>
    <n v="3"/>
    <s v="Jaqueta"/>
    <x v="0"/>
    <s v="Elisa"/>
    <x v="3"/>
    <n v="14"/>
    <n v="137"/>
    <n v="1918"/>
    <x v="3"/>
    <x v="0"/>
    <n v="1918"/>
  </r>
  <r>
    <d v="2024-04-10T00:00:00"/>
    <n v="2024"/>
    <n v="4"/>
    <n v="2"/>
    <s v="Cinto"/>
    <x v="2"/>
    <s v="Bruno"/>
    <x v="0"/>
    <n v="11"/>
    <n v="127"/>
    <n v="1397"/>
    <x v="0"/>
    <x v="2"/>
    <n v="1397"/>
  </r>
  <r>
    <d v="2024-05-10T00:00:00"/>
    <n v="2024"/>
    <n v="5"/>
    <n v="2"/>
    <s v="Cinto"/>
    <x v="0"/>
    <s v="Ana"/>
    <x v="3"/>
    <n v="7"/>
    <n v="61"/>
    <n v="427"/>
    <x v="3"/>
    <x v="0"/>
    <n v="427"/>
  </r>
  <r>
    <d v="2024-09-13T00:00:00"/>
    <n v="2024"/>
    <n v="9"/>
    <n v="3"/>
    <s v="Tênis"/>
    <x v="2"/>
    <s v="Carla"/>
    <x v="3"/>
    <n v="9"/>
    <n v="185"/>
    <n v="1665"/>
    <x v="3"/>
    <x v="2"/>
    <n v="1665"/>
  </r>
  <r>
    <d v="2024-01-05T00:00:00"/>
    <n v="2024"/>
    <n v="1"/>
    <n v="1"/>
    <s v="Jaqueta"/>
    <x v="1"/>
    <s v="Bruno"/>
    <x v="0"/>
    <n v="16"/>
    <n v="108"/>
    <n v="1728"/>
    <x v="0"/>
    <x v="1"/>
    <n v="1728"/>
  </r>
  <r>
    <d v="2024-08-05T00:00:00"/>
    <n v="2024"/>
    <n v="8"/>
    <n v="3"/>
    <s v="Tênis"/>
    <x v="2"/>
    <s v="Bruno"/>
    <x v="2"/>
    <n v="5"/>
    <n v="70"/>
    <n v="350"/>
    <x v="2"/>
    <x v="2"/>
    <n v="350"/>
  </r>
  <r>
    <d v="2024-09-11T00:00:00"/>
    <n v="2024"/>
    <n v="9"/>
    <n v="3"/>
    <s v="Calça Jeans"/>
    <x v="2"/>
    <s v="Carla"/>
    <x v="3"/>
    <n v="10"/>
    <n v="92"/>
    <n v="920"/>
    <x v="3"/>
    <x v="2"/>
    <n v="920"/>
  </r>
  <r>
    <d v="2024-12-24T00:00:00"/>
    <n v="2024"/>
    <n v="12"/>
    <n v="4"/>
    <s v="Cinto"/>
    <x v="2"/>
    <s v="Elisa"/>
    <x v="0"/>
    <n v="18"/>
    <n v="52"/>
    <n v="936"/>
    <x v="0"/>
    <x v="2"/>
    <n v="936"/>
  </r>
  <r>
    <d v="2024-10-09T00:00:00"/>
    <n v="2024"/>
    <n v="10"/>
    <n v="4"/>
    <s v="Boné"/>
    <x v="2"/>
    <s v="Bruno"/>
    <x v="3"/>
    <n v="3"/>
    <n v="133"/>
    <n v="399"/>
    <x v="3"/>
    <x v="2"/>
    <n v="399"/>
  </r>
  <r>
    <d v="2024-07-25T00:00:00"/>
    <n v="2024"/>
    <n v="7"/>
    <n v="3"/>
    <s v="Regata"/>
    <x v="0"/>
    <s v="Daniel"/>
    <x v="1"/>
    <n v="13"/>
    <n v="104"/>
    <n v="1352"/>
    <x v="1"/>
    <x v="0"/>
    <n v="1352"/>
  </r>
  <r>
    <d v="2024-01-15T00:00:00"/>
    <n v="2024"/>
    <n v="1"/>
    <n v="1"/>
    <s v="Meia"/>
    <x v="1"/>
    <s v="Bruno"/>
    <x v="2"/>
    <n v="11"/>
    <n v="77"/>
    <n v="847"/>
    <x v="2"/>
    <x v="1"/>
    <n v="847"/>
  </r>
  <r>
    <d v="2024-12-11T00:00:00"/>
    <n v="2024"/>
    <n v="12"/>
    <n v="4"/>
    <s v="Jaqueta"/>
    <x v="2"/>
    <s v="Elisa"/>
    <x v="4"/>
    <n v="17"/>
    <n v="189"/>
    <n v="3213"/>
    <x v="4"/>
    <x v="2"/>
    <n v="3213"/>
  </r>
  <r>
    <d v="2024-02-11T00:00:00"/>
    <n v="2024"/>
    <n v="2"/>
    <n v="1"/>
    <s v="Camiseta"/>
    <x v="0"/>
    <s v="Elisa"/>
    <x v="3"/>
    <n v="13"/>
    <n v="86"/>
    <n v="1118"/>
    <x v="3"/>
    <x v="0"/>
    <n v="1118"/>
  </r>
  <r>
    <d v="2024-06-27T00:00:00"/>
    <n v="2024"/>
    <n v="6"/>
    <n v="2"/>
    <s v="Tênis"/>
    <x v="1"/>
    <s v="Daniel"/>
    <x v="1"/>
    <n v="6"/>
    <n v="147"/>
    <n v="882"/>
    <x v="1"/>
    <x v="1"/>
    <n v="882"/>
  </r>
  <r>
    <d v="2024-03-03T00:00:00"/>
    <n v="2024"/>
    <n v="3"/>
    <n v="1"/>
    <s v="Meia"/>
    <x v="1"/>
    <s v="Bruno"/>
    <x v="4"/>
    <n v="17"/>
    <n v="129"/>
    <n v="2193"/>
    <x v="4"/>
    <x v="1"/>
    <n v="2193"/>
  </r>
  <r>
    <d v="2024-12-17T00:00:00"/>
    <n v="2024"/>
    <n v="12"/>
    <n v="4"/>
    <s v="Camiseta"/>
    <x v="1"/>
    <s v="Elisa"/>
    <x v="4"/>
    <n v="13"/>
    <n v="153"/>
    <n v="1989"/>
    <x v="4"/>
    <x v="1"/>
    <n v="1989"/>
  </r>
  <r>
    <d v="2024-08-18T00:00:00"/>
    <n v="2024"/>
    <n v="8"/>
    <n v="3"/>
    <s v="Meia"/>
    <x v="1"/>
    <s v="Carla"/>
    <x v="3"/>
    <n v="19"/>
    <n v="190"/>
    <n v="3610"/>
    <x v="3"/>
    <x v="1"/>
    <n v="3610"/>
  </r>
  <r>
    <d v="2024-08-28T00:00:00"/>
    <n v="2024"/>
    <n v="8"/>
    <n v="3"/>
    <s v="Regata"/>
    <x v="2"/>
    <s v="Ana"/>
    <x v="0"/>
    <n v="19"/>
    <n v="181"/>
    <n v="3439"/>
    <x v="0"/>
    <x v="2"/>
    <n v="3439"/>
  </r>
  <r>
    <d v="2024-02-21T00:00:00"/>
    <n v="2024"/>
    <n v="2"/>
    <n v="1"/>
    <s v="Camiseta"/>
    <x v="2"/>
    <s v="Ana"/>
    <x v="3"/>
    <n v="10"/>
    <n v="196"/>
    <n v="1960"/>
    <x v="3"/>
    <x v="2"/>
    <n v="1960"/>
  </r>
  <r>
    <d v="2024-04-05T00:00:00"/>
    <n v="2024"/>
    <n v="4"/>
    <n v="2"/>
    <s v="Bermuda"/>
    <x v="0"/>
    <s v="Ana"/>
    <x v="1"/>
    <n v="3"/>
    <n v="63"/>
    <n v="189"/>
    <x v="1"/>
    <x v="0"/>
    <n v="189"/>
  </r>
  <r>
    <d v="2024-08-09T00:00:00"/>
    <n v="2024"/>
    <n v="8"/>
    <n v="3"/>
    <s v="Moletom"/>
    <x v="0"/>
    <s v="Bruno"/>
    <x v="4"/>
    <n v="14"/>
    <n v="185"/>
    <n v="2590"/>
    <x v="4"/>
    <x v="0"/>
    <n v="2590"/>
  </r>
  <r>
    <d v="2024-08-18T00:00:00"/>
    <n v="2024"/>
    <n v="8"/>
    <n v="3"/>
    <s v="Bermuda"/>
    <x v="0"/>
    <s v="Daniel"/>
    <x v="3"/>
    <n v="19"/>
    <n v="194"/>
    <n v="3686"/>
    <x v="3"/>
    <x v="0"/>
    <n v="3686"/>
  </r>
  <r>
    <d v="2024-08-24T00:00:00"/>
    <n v="2024"/>
    <n v="8"/>
    <n v="3"/>
    <s v="Cinto"/>
    <x v="1"/>
    <s v="Elisa"/>
    <x v="0"/>
    <n v="5"/>
    <n v="36"/>
    <n v="180"/>
    <x v="0"/>
    <x v="1"/>
    <n v="180"/>
  </r>
  <r>
    <d v="2024-05-22T00:00:00"/>
    <n v="2024"/>
    <n v="5"/>
    <n v="2"/>
    <s v="Moletom"/>
    <x v="1"/>
    <s v="Carla"/>
    <x v="3"/>
    <n v="5"/>
    <n v="194"/>
    <n v="970"/>
    <x v="3"/>
    <x v="1"/>
    <n v="970"/>
  </r>
  <r>
    <d v="2024-06-19T00:00:00"/>
    <n v="2024"/>
    <n v="6"/>
    <n v="2"/>
    <s v="Bermuda"/>
    <x v="2"/>
    <s v="Carla"/>
    <x v="2"/>
    <n v="17"/>
    <n v="85"/>
    <n v="1445"/>
    <x v="2"/>
    <x v="2"/>
    <n v="1445"/>
  </r>
  <r>
    <d v="2024-01-29T00:00:00"/>
    <n v="2024"/>
    <n v="1"/>
    <n v="1"/>
    <s v="Moletom"/>
    <x v="1"/>
    <s v="Bruno"/>
    <x v="0"/>
    <n v="10"/>
    <n v="94"/>
    <n v="940"/>
    <x v="0"/>
    <x v="1"/>
    <n v="940"/>
  </r>
  <r>
    <d v="2024-02-05T00:00:00"/>
    <n v="2024"/>
    <n v="2"/>
    <n v="1"/>
    <s v="Moletom"/>
    <x v="1"/>
    <s v="Ana"/>
    <x v="1"/>
    <n v="5"/>
    <n v="76"/>
    <n v="380"/>
    <x v="1"/>
    <x v="1"/>
    <n v="380"/>
  </r>
  <r>
    <d v="2024-01-13T00:00:00"/>
    <n v="2024"/>
    <n v="1"/>
    <n v="1"/>
    <s v="Boné"/>
    <x v="1"/>
    <s v="Bruno"/>
    <x v="4"/>
    <n v="4"/>
    <n v="177"/>
    <n v="708"/>
    <x v="4"/>
    <x v="1"/>
    <n v="708"/>
  </r>
  <r>
    <d v="2024-06-08T00:00:00"/>
    <n v="2024"/>
    <n v="6"/>
    <n v="2"/>
    <s v="Tênis"/>
    <x v="0"/>
    <s v="Daniel"/>
    <x v="3"/>
    <n v="6"/>
    <n v="48"/>
    <n v="288"/>
    <x v="3"/>
    <x v="0"/>
    <n v="288"/>
  </r>
  <r>
    <d v="2024-11-22T00:00:00"/>
    <n v="2024"/>
    <n v="11"/>
    <n v="4"/>
    <s v="Tênis"/>
    <x v="0"/>
    <s v="Daniel"/>
    <x v="0"/>
    <n v="4"/>
    <n v="186"/>
    <n v="744"/>
    <x v="0"/>
    <x v="0"/>
    <n v="744"/>
  </r>
  <r>
    <d v="2024-07-05T00:00:00"/>
    <n v="2024"/>
    <n v="7"/>
    <n v="3"/>
    <s v="Boné"/>
    <x v="2"/>
    <s v="Elisa"/>
    <x v="2"/>
    <n v="7"/>
    <n v="175"/>
    <n v="1225"/>
    <x v="2"/>
    <x v="2"/>
    <n v="1225"/>
  </r>
  <r>
    <d v="2024-08-30T00:00:00"/>
    <n v="2024"/>
    <n v="8"/>
    <n v="3"/>
    <s v="Meia"/>
    <x v="1"/>
    <s v="Elisa"/>
    <x v="0"/>
    <n v="7"/>
    <n v="192"/>
    <n v="1344"/>
    <x v="0"/>
    <x v="1"/>
    <n v="1344"/>
  </r>
  <r>
    <d v="2024-03-26T00:00:00"/>
    <n v="2024"/>
    <n v="3"/>
    <n v="1"/>
    <s v="Calça Jeans"/>
    <x v="1"/>
    <s v="Daniel"/>
    <x v="2"/>
    <n v="18"/>
    <n v="155"/>
    <n v="2790"/>
    <x v="2"/>
    <x v="1"/>
    <n v="2790"/>
  </r>
  <r>
    <d v="2024-10-10T00:00:00"/>
    <n v="2024"/>
    <n v="10"/>
    <n v="4"/>
    <s v="Meia"/>
    <x v="2"/>
    <s v="Daniel"/>
    <x v="1"/>
    <n v="3"/>
    <n v="168"/>
    <n v="504"/>
    <x v="1"/>
    <x v="2"/>
    <n v="504"/>
  </r>
  <r>
    <d v="2024-03-06T00:00:00"/>
    <n v="2024"/>
    <n v="3"/>
    <n v="1"/>
    <s v="Camiseta"/>
    <x v="1"/>
    <s v="Daniel"/>
    <x v="4"/>
    <n v="1"/>
    <n v="78"/>
    <n v="78"/>
    <x v="4"/>
    <x v="1"/>
    <n v="78"/>
  </r>
  <r>
    <d v="2024-06-18T00:00:00"/>
    <n v="2024"/>
    <n v="6"/>
    <n v="2"/>
    <s v="Camiseta"/>
    <x v="1"/>
    <s v="Bruno"/>
    <x v="1"/>
    <n v="4"/>
    <n v="142"/>
    <n v="568"/>
    <x v="1"/>
    <x v="1"/>
    <n v="568"/>
  </r>
  <r>
    <d v="2024-02-14T00:00:00"/>
    <n v="2024"/>
    <n v="2"/>
    <n v="1"/>
    <s v="Moletom"/>
    <x v="0"/>
    <s v="Daniel"/>
    <x v="3"/>
    <n v="6"/>
    <n v="67"/>
    <n v="402"/>
    <x v="3"/>
    <x v="0"/>
    <n v="402"/>
  </r>
  <r>
    <d v="2024-03-02T00:00:00"/>
    <n v="2024"/>
    <n v="3"/>
    <n v="1"/>
    <s v="Bermuda"/>
    <x v="2"/>
    <s v="Carla"/>
    <x v="0"/>
    <n v="9"/>
    <n v="93"/>
    <n v="837"/>
    <x v="0"/>
    <x v="2"/>
    <n v="837"/>
  </r>
  <r>
    <d v="2024-05-13T00:00:00"/>
    <n v="2024"/>
    <n v="5"/>
    <n v="2"/>
    <s v="Bermuda"/>
    <x v="2"/>
    <s v="Ana"/>
    <x v="2"/>
    <n v="14"/>
    <n v="98"/>
    <n v="1372"/>
    <x v="2"/>
    <x v="2"/>
    <n v="1372"/>
  </r>
  <r>
    <d v="2024-10-10T00:00:00"/>
    <n v="2024"/>
    <n v="10"/>
    <n v="4"/>
    <s v="Tênis"/>
    <x v="2"/>
    <s v="Daniel"/>
    <x v="2"/>
    <n v="12"/>
    <n v="165"/>
    <n v="1980"/>
    <x v="2"/>
    <x v="2"/>
    <n v="1980"/>
  </r>
  <r>
    <d v="2024-01-28T00:00:00"/>
    <n v="2024"/>
    <n v="1"/>
    <n v="1"/>
    <s v="Jaqueta"/>
    <x v="2"/>
    <s v="Ana"/>
    <x v="0"/>
    <n v="4"/>
    <n v="191"/>
    <n v="764"/>
    <x v="0"/>
    <x v="2"/>
    <n v="764"/>
  </r>
  <r>
    <d v="2024-04-17T00:00:00"/>
    <n v="2024"/>
    <n v="4"/>
    <n v="2"/>
    <s v="Meia"/>
    <x v="0"/>
    <s v="Bruno"/>
    <x v="0"/>
    <n v="12"/>
    <n v="145"/>
    <n v="1740"/>
    <x v="0"/>
    <x v="0"/>
    <n v="1740"/>
  </r>
  <r>
    <d v="2024-02-13T00:00:00"/>
    <n v="2024"/>
    <n v="2"/>
    <n v="1"/>
    <s v="Cinto"/>
    <x v="0"/>
    <s v="Ana"/>
    <x v="3"/>
    <n v="10"/>
    <n v="94"/>
    <n v="940"/>
    <x v="3"/>
    <x v="0"/>
    <n v="940"/>
  </r>
  <r>
    <d v="2024-12-05T00:00:00"/>
    <n v="2024"/>
    <n v="12"/>
    <n v="4"/>
    <s v="Regata"/>
    <x v="1"/>
    <s v="Bruno"/>
    <x v="1"/>
    <n v="7"/>
    <n v="60"/>
    <n v="420"/>
    <x v="1"/>
    <x v="1"/>
    <n v="420"/>
  </r>
  <r>
    <d v="2024-10-12T00:00:00"/>
    <n v="2024"/>
    <n v="10"/>
    <n v="4"/>
    <s v="Bermuda"/>
    <x v="1"/>
    <s v="Carla"/>
    <x v="2"/>
    <n v="3"/>
    <n v="161"/>
    <n v="483"/>
    <x v="2"/>
    <x v="1"/>
    <n v="483"/>
  </r>
  <r>
    <d v="2024-11-26T00:00:00"/>
    <n v="2024"/>
    <n v="11"/>
    <n v="4"/>
    <s v="Regata"/>
    <x v="1"/>
    <s v="Bruno"/>
    <x v="3"/>
    <n v="14"/>
    <n v="142"/>
    <n v="1988"/>
    <x v="3"/>
    <x v="1"/>
    <n v="1988"/>
  </r>
  <r>
    <d v="2024-05-07T00:00:00"/>
    <n v="2024"/>
    <n v="5"/>
    <n v="2"/>
    <s v="Moletom"/>
    <x v="1"/>
    <s v="Bruno"/>
    <x v="1"/>
    <n v="10"/>
    <n v="138"/>
    <n v="1380"/>
    <x v="1"/>
    <x v="1"/>
    <n v="1380"/>
  </r>
  <r>
    <d v="2024-12-13T00:00:00"/>
    <n v="2024"/>
    <n v="12"/>
    <n v="4"/>
    <s v="Regata"/>
    <x v="0"/>
    <s v="Elisa"/>
    <x v="3"/>
    <n v="16"/>
    <n v="98"/>
    <n v="1568"/>
    <x v="3"/>
    <x v="0"/>
    <n v="1568"/>
  </r>
  <r>
    <d v="2024-08-18T00:00:00"/>
    <n v="2024"/>
    <n v="8"/>
    <n v="3"/>
    <s v="Cinto"/>
    <x v="2"/>
    <s v="Daniel"/>
    <x v="2"/>
    <n v="16"/>
    <n v="187"/>
    <n v="2992"/>
    <x v="2"/>
    <x v="2"/>
    <n v="2992"/>
  </r>
  <r>
    <d v="2024-07-08T00:00:00"/>
    <n v="2024"/>
    <n v="7"/>
    <n v="3"/>
    <s v="Boné"/>
    <x v="0"/>
    <s v="Daniel"/>
    <x v="0"/>
    <n v="10"/>
    <n v="149"/>
    <n v="1490"/>
    <x v="0"/>
    <x v="0"/>
    <n v="1490"/>
  </r>
  <r>
    <d v="2024-08-12T00:00:00"/>
    <n v="2024"/>
    <n v="8"/>
    <n v="3"/>
    <s v="Cinto"/>
    <x v="1"/>
    <s v="Carla"/>
    <x v="0"/>
    <n v="13"/>
    <n v="117"/>
    <n v="1521"/>
    <x v="0"/>
    <x v="1"/>
    <n v="1521"/>
  </r>
  <r>
    <d v="2024-10-09T00:00:00"/>
    <n v="2024"/>
    <n v="10"/>
    <n v="4"/>
    <s v="Regata"/>
    <x v="0"/>
    <s v="Carla"/>
    <x v="1"/>
    <n v="6"/>
    <n v="96"/>
    <n v="576"/>
    <x v="1"/>
    <x v="0"/>
    <n v="576"/>
  </r>
  <r>
    <d v="2024-04-30T00:00:00"/>
    <n v="2024"/>
    <n v="4"/>
    <n v="2"/>
    <s v="Cinto"/>
    <x v="2"/>
    <s v="Daniel"/>
    <x v="4"/>
    <n v="12"/>
    <n v="104"/>
    <n v="1248"/>
    <x v="4"/>
    <x v="2"/>
    <n v="1248"/>
  </r>
  <r>
    <d v="2024-04-25T00:00:00"/>
    <n v="2024"/>
    <n v="4"/>
    <n v="2"/>
    <s v="Calça Jeans"/>
    <x v="2"/>
    <s v="Elisa"/>
    <x v="1"/>
    <n v="9"/>
    <n v="74"/>
    <n v="666"/>
    <x v="1"/>
    <x v="2"/>
    <n v="666"/>
  </r>
  <r>
    <d v="2024-08-20T00:00:00"/>
    <n v="2024"/>
    <n v="8"/>
    <n v="3"/>
    <s v="Moletom"/>
    <x v="0"/>
    <s v="Daniel"/>
    <x v="4"/>
    <n v="13"/>
    <n v="33"/>
    <n v="429"/>
    <x v="4"/>
    <x v="0"/>
    <n v="429"/>
  </r>
  <r>
    <d v="2024-09-15T00:00:00"/>
    <n v="2024"/>
    <n v="9"/>
    <n v="3"/>
    <s v="Meia"/>
    <x v="0"/>
    <s v="Elisa"/>
    <x v="3"/>
    <n v="4"/>
    <n v="183"/>
    <n v="732"/>
    <x v="3"/>
    <x v="0"/>
    <n v="732"/>
  </r>
  <r>
    <d v="2024-12-24T00:00:00"/>
    <n v="2024"/>
    <n v="12"/>
    <n v="4"/>
    <s v="Boné"/>
    <x v="0"/>
    <s v="Carla"/>
    <x v="3"/>
    <n v="11"/>
    <n v="184"/>
    <n v="2024"/>
    <x v="3"/>
    <x v="0"/>
    <n v="2024"/>
  </r>
  <r>
    <d v="2024-07-16T00:00:00"/>
    <n v="2024"/>
    <n v="7"/>
    <n v="3"/>
    <s v="Bermuda"/>
    <x v="1"/>
    <s v="Ana"/>
    <x v="2"/>
    <n v="18"/>
    <n v="136"/>
    <n v="2448"/>
    <x v="2"/>
    <x v="1"/>
    <n v="2448"/>
  </r>
  <r>
    <d v="2024-05-16T00:00:00"/>
    <n v="2024"/>
    <n v="5"/>
    <n v="2"/>
    <s v="Camiseta"/>
    <x v="0"/>
    <s v="Carla"/>
    <x v="4"/>
    <n v="11"/>
    <n v="80"/>
    <n v="880"/>
    <x v="4"/>
    <x v="0"/>
    <n v="880"/>
  </r>
  <r>
    <d v="2024-11-13T00:00:00"/>
    <n v="2024"/>
    <n v="11"/>
    <n v="4"/>
    <s v="Meia"/>
    <x v="0"/>
    <s v="Carla"/>
    <x v="2"/>
    <n v="4"/>
    <n v="79"/>
    <n v="316"/>
    <x v="2"/>
    <x v="0"/>
    <n v="316"/>
  </r>
  <r>
    <d v="2024-06-13T00:00:00"/>
    <n v="2024"/>
    <n v="6"/>
    <n v="2"/>
    <s v="Camiseta"/>
    <x v="0"/>
    <s v="Bruno"/>
    <x v="0"/>
    <n v="18"/>
    <n v="35"/>
    <n v="630"/>
    <x v="0"/>
    <x v="0"/>
    <n v="630"/>
  </r>
  <r>
    <d v="2024-08-12T00:00:00"/>
    <n v="2024"/>
    <n v="8"/>
    <n v="3"/>
    <s v="Moletom"/>
    <x v="2"/>
    <s v="Bruno"/>
    <x v="4"/>
    <n v="1"/>
    <n v="88"/>
    <n v="88"/>
    <x v="4"/>
    <x v="2"/>
    <n v="88"/>
  </r>
  <r>
    <d v="2024-11-02T00:00:00"/>
    <n v="2024"/>
    <n v="11"/>
    <n v="4"/>
    <s v="Boné"/>
    <x v="2"/>
    <s v="Bruno"/>
    <x v="1"/>
    <n v="7"/>
    <n v="154"/>
    <n v="1078"/>
    <x v="1"/>
    <x v="2"/>
    <n v="1078"/>
  </r>
  <r>
    <d v="2024-08-21T00:00:00"/>
    <n v="2024"/>
    <n v="8"/>
    <n v="3"/>
    <s v="Tênis"/>
    <x v="1"/>
    <s v="Bruno"/>
    <x v="0"/>
    <n v="6"/>
    <n v="172"/>
    <n v="1032"/>
    <x v="0"/>
    <x v="1"/>
    <n v="1032"/>
  </r>
  <r>
    <d v="2024-06-20T00:00:00"/>
    <n v="2024"/>
    <n v="6"/>
    <n v="2"/>
    <s v="Bermuda"/>
    <x v="1"/>
    <s v="Elisa"/>
    <x v="0"/>
    <n v="15"/>
    <n v="59"/>
    <n v="885"/>
    <x v="0"/>
    <x v="1"/>
    <n v="885"/>
  </r>
  <r>
    <d v="2024-05-31T00:00:00"/>
    <n v="2024"/>
    <n v="5"/>
    <n v="2"/>
    <s v="Calça Jeans"/>
    <x v="2"/>
    <s v="Daniel"/>
    <x v="1"/>
    <n v="18"/>
    <n v="199"/>
    <n v="3582"/>
    <x v="1"/>
    <x v="2"/>
    <n v="3582"/>
  </r>
  <r>
    <d v="2024-11-10T00:00:00"/>
    <n v="2024"/>
    <n v="11"/>
    <n v="4"/>
    <s v="Tênis"/>
    <x v="2"/>
    <s v="Ana"/>
    <x v="0"/>
    <n v="11"/>
    <n v="151"/>
    <n v="1661"/>
    <x v="0"/>
    <x v="2"/>
    <n v="1661"/>
  </r>
  <r>
    <d v="2024-06-08T00:00:00"/>
    <n v="2024"/>
    <n v="6"/>
    <n v="2"/>
    <s v="Moletom"/>
    <x v="2"/>
    <s v="Carla"/>
    <x v="4"/>
    <n v="15"/>
    <n v="154"/>
    <n v="2310"/>
    <x v="4"/>
    <x v="2"/>
    <n v="2310"/>
  </r>
  <r>
    <d v="2024-04-05T00:00:00"/>
    <n v="2024"/>
    <n v="4"/>
    <n v="2"/>
    <s v="Meia"/>
    <x v="0"/>
    <s v="Elisa"/>
    <x v="2"/>
    <n v="16"/>
    <n v="66"/>
    <n v="1056"/>
    <x v="2"/>
    <x v="0"/>
    <n v="1056"/>
  </r>
  <r>
    <d v="2024-08-20T00:00:00"/>
    <n v="2024"/>
    <n v="8"/>
    <n v="3"/>
    <s v="Calça Jeans"/>
    <x v="0"/>
    <s v="Ana"/>
    <x v="0"/>
    <n v="7"/>
    <n v="199"/>
    <n v="1393"/>
    <x v="0"/>
    <x v="0"/>
    <n v="1393"/>
  </r>
  <r>
    <d v="2024-06-28T00:00:00"/>
    <n v="2024"/>
    <n v="6"/>
    <n v="2"/>
    <s v="Cinto"/>
    <x v="2"/>
    <s v="Elisa"/>
    <x v="4"/>
    <n v="10"/>
    <n v="153"/>
    <n v="1530"/>
    <x v="4"/>
    <x v="2"/>
    <n v="1530"/>
  </r>
  <r>
    <d v="2024-04-22T00:00:00"/>
    <n v="2024"/>
    <n v="4"/>
    <n v="2"/>
    <s v="Regata"/>
    <x v="0"/>
    <s v="Elisa"/>
    <x v="3"/>
    <n v="12"/>
    <n v="130"/>
    <n v="1560"/>
    <x v="3"/>
    <x v="0"/>
    <n v="1560"/>
  </r>
  <r>
    <d v="2024-11-13T00:00:00"/>
    <n v="2024"/>
    <n v="11"/>
    <n v="4"/>
    <s v="Calça Jeans"/>
    <x v="0"/>
    <s v="Carla"/>
    <x v="4"/>
    <n v="14"/>
    <n v="64"/>
    <n v="896"/>
    <x v="4"/>
    <x v="0"/>
    <n v="896"/>
  </r>
  <r>
    <d v="2024-02-21T00:00:00"/>
    <n v="2024"/>
    <n v="2"/>
    <n v="1"/>
    <s v="Moletom"/>
    <x v="1"/>
    <s v="Daniel"/>
    <x v="2"/>
    <n v="5"/>
    <n v="116"/>
    <n v="580"/>
    <x v="2"/>
    <x v="1"/>
    <n v="580"/>
  </r>
  <r>
    <d v="2024-09-24T00:00:00"/>
    <n v="2024"/>
    <n v="9"/>
    <n v="3"/>
    <s v="Jaqueta"/>
    <x v="2"/>
    <s v="Bruno"/>
    <x v="4"/>
    <n v="18"/>
    <n v="163"/>
    <n v="2934"/>
    <x v="4"/>
    <x v="2"/>
    <n v="2934"/>
  </r>
  <r>
    <d v="2024-10-21T00:00:00"/>
    <n v="2024"/>
    <n v="10"/>
    <n v="4"/>
    <s v="Regata"/>
    <x v="2"/>
    <s v="Daniel"/>
    <x v="1"/>
    <n v="5"/>
    <n v="47"/>
    <n v="235"/>
    <x v="1"/>
    <x v="2"/>
    <n v="235"/>
  </r>
  <r>
    <d v="2024-04-22T00:00:00"/>
    <n v="2024"/>
    <n v="4"/>
    <n v="2"/>
    <s v="Camiseta"/>
    <x v="0"/>
    <s v="Carla"/>
    <x v="2"/>
    <n v="3"/>
    <n v="142"/>
    <n v="426"/>
    <x v="2"/>
    <x v="0"/>
    <n v="426"/>
  </r>
  <r>
    <d v="2024-04-10T00:00:00"/>
    <n v="2024"/>
    <n v="4"/>
    <n v="2"/>
    <s v="Bermuda"/>
    <x v="2"/>
    <s v="Carla"/>
    <x v="3"/>
    <n v="5"/>
    <n v="58"/>
    <n v="290"/>
    <x v="3"/>
    <x v="2"/>
    <n v="290"/>
  </r>
  <r>
    <d v="2024-04-22T00:00:00"/>
    <n v="2024"/>
    <n v="4"/>
    <n v="2"/>
    <s v="Camiseta"/>
    <x v="1"/>
    <s v="Carla"/>
    <x v="1"/>
    <n v="17"/>
    <n v="106"/>
    <n v="1802"/>
    <x v="1"/>
    <x v="1"/>
    <n v="1802"/>
  </r>
  <r>
    <d v="2024-03-21T00:00:00"/>
    <n v="2024"/>
    <n v="3"/>
    <n v="1"/>
    <s v="Calça Jeans"/>
    <x v="1"/>
    <s v="Ana"/>
    <x v="4"/>
    <n v="19"/>
    <n v="88"/>
    <n v="1672"/>
    <x v="4"/>
    <x v="1"/>
    <n v="1672"/>
  </r>
  <r>
    <d v="2024-07-05T00:00:00"/>
    <n v="2024"/>
    <n v="7"/>
    <n v="3"/>
    <s v="Camiseta"/>
    <x v="1"/>
    <s v="Daniel"/>
    <x v="2"/>
    <n v="19"/>
    <n v="155"/>
    <n v="2945"/>
    <x v="2"/>
    <x v="1"/>
    <n v="2945"/>
  </r>
  <r>
    <d v="2024-04-22T00:00:00"/>
    <n v="2024"/>
    <n v="4"/>
    <n v="2"/>
    <s v="Moletom"/>
    <x v="2"/>
    <s v="Daniel"/>
    <x v="3"/>
    <n v="12"/>
    <n v="174"/>
    <n v="2088"/>
    <x v="3"/>
    <x v="2"/>
    <n v="2088"/>
  </r>
  <r>
    <d v="2024-01-02T00:00:00"/>
    <n v="2024"/>
    <n v="1"/>
    <n v="1"/>
    <s v="Cinto"/>
    <x v="2"/>
    <s v="Elisa"/>
    <x v="1"/>
    <n v="9"/>
    <n v="138"/>
    <n v="1242"/>
    <x v="1"/>
    <x v="2"/>
    <n v="1242"/>
  </r>
  <r>
    <d v="2024-05-09T00:00:00"/>
    <n v="2024"/>
    <n v="5"/>
    <n v="2"/>
    <s v="Meia"/>
    <x v="2"/>
    <s v="Elisa"/>
    <x v="3"/>
    <n v="1"/>
    <n v="51"/>
    <n v="51"/>
    <x v="3"/>
    <x v="2"/>
    <n v="51"/>
  </r>
  <r>
    <d v="2024-08-07T00:00:00"/>
    <n v="2024"/>
    <n v="8"/>
    <n v="3"/>
    <s v="Bermuda"/>
    <x v="2"/>
    <s v="Elisa"/>
    <x v="4"/>
    <n v="18"/>
    <n v="97"/>
    <n v="1746"/>
    <x v="4"/>
    <x v="2"/>
    <n v="1746"/>
  </r>
  <r>
    <d v="2024-02-23T00:00:00"/>
    <n v="2024"/>
    <n v="2"/>
    <n v="1"/>
    <s v="Camiseta"/>
    <x v="2"/>
    <s v="Carla"/>
    <x v="3"/>
    <n v="4"/>
    <n v="98"/>
    <n v="392"/>
    <x v="3"/>
    <x v="2"/>
    <n v="392"/>
  </r>
  <r>
    <d v="2024-12-08T00:00:00"/>
    <n v="2024"/>
    <n v="12"/>
    <n v="4"/>
    <s v="Camiseta"/>
    <x v="1"/>
    <s v="Daniel"/>
    <x v="0"/>
    <n v="10"/>
    <n v="194"/>
    <n v="1940"/>
    <x v="0"/>
    <x v="1"/>
    <n v="1940"/>
  </r>
  <r>
    <d v="2024-08-11T00:00:00"/>
    <n v="2024"/>
    <n v="8"/>
    <n v="3"/>
    <s v="Calça Jeans"/>
    <x v="0"/>
    <s v="Carla"/>
    <x v="1"/>
    <n v="7"/>
    <n v="78"/>
    <n v="546"/>
    <x v="1"/>
    <x v="0"/>
    <n v="546"/>
  </r>
  <r>
    <d v="2024-08-12T00:00:00"/>
    <n v="2024"/>
    <n v="8"/>
    <n v="3"/>
    <s v="Meia"/>
    <x v="1"/>
    <s v="Ana"/>
    <x v="3"/>
    <n v="1"/>
    <n v="170"/>
    <n v="170"/>
    <x v="3"/>
    <x v="1"/>
    <n v="170"/>
  </r>
  <r>
    <d v="2024-05-05T00:00:00"/>
    <n v="2024"/>
    <n v="5"/>
    <n v="2"/>
    <s v="Tênis"/>
    <x v="2"/>
    <s v="Elisa"/>
    <x v="4"/>
    <n v="17"/>
    <n v="191"/>
    <n v="3247"/>
    <x v="4"/>
    <x v="2"/>
    <n v="3247"/>
  </r>
  <r>
    <d v="2024-05-09T00:00:00"/>
    <n v="2024"/>
    <n v="5"/>
    <n v="2"/>
    <s v="Camiseta"/>
    <x v="1"/>
    <s v="Carla"/>
    <x v="4"/>
    <n v="2"/>
    <n v="138"/>
    <n v="276"/>
    <x v="4"/>
    <x v="1"/>
    <n v="276"/>
  </r>
  <r>
    <d v="2024-02-22T00:00:00"/>
    <n v="2024"/>
    <n v="2"/>
    <n v="1"/>
    <s v="Moletom"/>
    <x v="2"/>
    <s v="Carla"/>
    <x v="3"/>
    <n v="11"/>
    <n v="115"/>
    <n v="1265"/>
    <x v="3"/>
    <x v="2"/>
    <n v="1265"/>
  </r>
  <r>
    <d v="2024-06-20T00:00:00"/>
    <n v="2024"/>
    <n v="6"/>
    <n v="2"/>
    <s v="Jaqueta"/>
    <x v="2"/>
    <s v="Ana"/>
    <x v="4"/>
    <n v="9"/>
    <n v="82"/>
    <n v="738"/>
    <x v="4"/>
    <x v="2"/>
    <n v="738"/>
  </r>
  <r>
    <d v="2024-08-05T00:00:00"/>
    <n v="2024"/>
    <n v="8"/>
    <n v="3"/>
    <s v="Bermuda"/>
    <x v="1"/>
    <s v="Bruno"/>
    <x v="2"/>
    <n v="7"/>
    <n v="152"/>
    <n v="1064"/>
    <x v="2"/>
    <x v="1"/>
    <n v="1064"/>
  </r>
  <r>
    <d v="2024-06-08T00:00:00"/>
    <n v="2024"/>
    <n v="6"/>
    <n v="2"/>
    <s v="Camiseta"/>
    <x v="2"/>
    <s v="Daniel"/>
    <x v="2"/>
    <n v="17"/>
    <n v="116"/>
    <n v="1972"/>
    <x v="2"/>
    <x v="2"/>
    <n v="1972"/>
  </r>
  <r>
    <d v="2024-07-16T00:00:00"/>
    <n v="2024"/>
    <n v="7"/>
    <n v="3"/>
    <s v="Moletom"/>
    <x v="0"/>
    <s v="Bruno"/>
    <x v="2"/>
    <n v="17"/>
    <n v="160"/>
    <n v="2720"/>
    <x v="2"/>
    <x v="0"/>
    <n v="2720"/>
  </r>
  <r>
    <d v="2024-09-03T00:00:00"/>
    <n v="2024"/>
    <n v="9"/>
    <n v="3"/>
    <s v="Moletom"/>
    <x v="2"/>
    <s v="Elisa"/>
    <x v="0"/>
    <n v="2"/>
    <n v="71"/>
    <n v="142"/>
    <x v="0"/>
    <x v="2"/>
    <n v="142"/>
  </r>
  <r>
    <d v="2024-11-19T00:00:00"/>
    <n v="2024"/>
    <n v="11"/>
    <n v="4"/>
    <s v="Bermuda"/>
    <x v="0"/>
    <s v="Carla"/>
    <x v="3"/>
    <n v="6"/>
    <n v="127"/>
    <n v="762"/>
    <x v="3"/>
    <x v="0"/>
    <n v="762"/>
  </r>
  <r>
    <d v="2024-07-21T00:00:00"/>
    <n v="2024"/>
    <n v="7"/>
    <n v="3"/>
    <s v="Tênis"/>
    <x v="0"/>
    <s v="Ana"/>
    <x v="0"/>
    <n v="14"/>
    <n v="189"/>
    <n v="2646"/>
    <x v="0"/>
    <x v="0"/>
    <n v="2646"/>
  </r>
  <r>
    <d v="2024-07-02T00:00:00"/>
    <n v="2024"/>
    <n v="7"/>
    <n v="3"/>
    <s v="Moletom"/>
    <x v="2"/>
    <s v="Ana"/>
    <x v="4"/>
    <n v="6"/>
    <n v="138"/>
    <n v="828"/>
    <x v="4"/>
    <x v="2"/>
    <n v="828"/>
  </r>
  <r>
    <d v="2024-05-02T00:00:00"/>
    <n v="2024"/>
    <n v="5"/>
    <n v="2"/>
    <s v="Jaqueta"/>
    <x v="1"/>
    <s v="Daniel"/>
    <x v="0"/>
    <n v="2"/>
    <n v="80"/>
    <n v="160"/>
    <x v="0"/>
    <x v="1"/>
    <n v="160"/>
  </r>
  <r>
    <d v="2024-09-11T00:00:00"/>
    <n v="2024"/>
    <n v="9"/>
    <n v="3"/>
    <s v="Moletom"/>
    <x v="0"/>
    <s v="Bruno"/>
    <x v="4"/>
    <n v="1"/>
    <n v="114"/>
    <n v="114"/>
    <x v="4"/>
    <x v="0"/>
    <n v="114"/>
  </r>
  <r>
    <d v="2024-10-20T00:00:00"/>
    <n v="2024"/>
    <n v="10"/>
    <n v="4"/>
    <s v="Moletom"/>
    <x v="1"/>
    <s v="Daniel"/>
    <x v="4"/>
    <n v="10"/>
    <n v="156"/>
    <n v="1560"/>
    <x v="4"/>
    <x v="1"/>
    <n v="1560"/>
  </r>
  <r>
    <d v="2024-10-06T00:00:00"/>
    <n v="2024"/>
    <n v="10"/>
    <n v="4"/>
    <s v="Moletom"/>
    <x v="0"/>
    <s v="Carla"/>
    <x v="1"/>
    <n v="5"/>
    <n v="50"/>
    <n v="250"/>
    <x v="1"/>
    <x v="0"/>
    <n v="250"/>
  </r>
  <r>
    <d v="2024-11-20T00:00:00"/>
    <n v="2024"/>
    <n v="11"/>
    <n v="4"/>
    <s v="Cinto"/>
    <x v="2"/>
    <s v="Daniel"/>
    <x v="2"/>
    <n v="2"/>
    <n v="73"/>
    <n v="146"/>
    <x v="2"/>
    <x v="2"/>
    <n v="146"/>
  </r>
  <r>
    <d v="2024-04-07T00:00:00"/>
    <n v="2024"/>
    <n v="4"/>
    <n v="2"/>
    <s v="Cinto"/>
    <x v="2"/>
    <s v="Ana"/>
    <x v="4"/>
    <n v="16"/>
    <n v="168"/>
    <n v="2688"/>
    <x v="4"/>
    <x v="2"/>
    <n v="2688"/>
  </r>
  <r>
    <d v="2024-07-16T00:00:00"/>
    <n v="2024"/>
    <n v="7"/>
    <n v="3"/>
    <s v="Tênis"/>
    <x v="0"/>
    <s v="Ana"/>
    <x v="1"/>
    <n v="2"/>
    <n v="132"/>
    <n v="264"/>
    <x v="1"/>
    <x v="0"/>
    <n v="264"/>
  </r>
  <r>
    <d v="2024-08-27T00:00:00"/>
    <n v="2024"/>
    <n v="8"/>
    <n v="3"/>
    <s v="Camiseta"/>
    <x v="2"/>
    <s v="Elisa"/>
    <x v="2"/>
    <n v="10"/>
    <n v="97"/>
    <n v="970"/>
    <x v="2"/>
    <x v="2"/>
    <n v="970"/>
  </r>
  <r>
    <d v="2024-05-23T00:00:00"/>
    <n v="2024"/>
    <n v="5"/>
    <n v="2"/>
    <s v="Moletom"/>
    <x v="0"/>
    <s v="Elisa"/>
    <x v="4"/>
    <n v="2"/>
    <n v="158"/>
    <n v="316"/>
    <x v="4"/>
    <x v="0"/>
    <n v="316"/>
  </r>
  <r>
    <d v="2024-04-06T00:00:00"/>
    <n v="2024"/>
    <n v="4"/>
    <n v="2"/>
    <s v="Meia"/>
    <x v="2"/>
    <s v="Carla"/>
    <x v="4"/>
    <n v="16"/>
    <n v="121"/>
    <n v="1936"/>
    <x v="4"/>
    <x v="2"/>
    <n v="1936"/>
  </r>
  <r>
    <d v="2024-07-19T00:00:00"/>
    <n v="2024"/>
    <n v="7"/>
    <n v="3"/>
    <s v="Camiseta"/>
    <x v="1"/>
    <s v="Bruno"/>
    <x v="0"/>
    <n v="16"/>
    <n v="53"/>
    <n v="848"/>
    <x v="0"/>
    <x v="1"/>
    <n v="848"/>
  </r>
  <r>
    <d v="2024-05-03T00:00:00"/>
    <n v="2024"/>
    <n v="5"/>
    <n v="2"/>
    <s v="Tênis"/>
    <x v="2"/>
    <s v="Daniel"/>
    <x v="0"/>
    <n v="19"/>
    <n v="154"/>
    <n v="2926"/>
    <x v="0"/>
    <x v="2"/>
    <n v="2926"/>
  </r>
  <r>
    <d v="2024-07-05T00:00:00"/>
    <n v="2024"/>
    <n v="7"/>
    <n v="3"/>
    <s v="Boné"/>
    <x v="1"/>
    <s v="Carla"/>
    <x v="2"/>
    <n v="7"/>
    <n v="170"/>
    <n v="1190"/>
    <x v="2"/>
    <x v="1"/>
    <n v="1190"/>
  </r>
  <r>
    <d v="2024-11-21T00:00:00"/>
    <n v="2024"/>
    <n v="11"/>
    <n v="4"/>
    <s v="Camiseta"/>
    <x v="2"/>
    <s v="Elisa"/>
    <x v="4"/>
    <n v="12"/>
    <n v="140"/>
    <n v="1680"/>
    <x v="4"/>
    <x v="2"/>
    <n v="1680"/>
  </r>
  <r>
    <d v="2024-12-14T00:00:00"/>
    <n v="2024"/>
    <n v="12"/>
    <n v="4"/>
    <s v="Camiseta"/>
    <x v="1"/>
    <s v="Daniel"/>
    <x v="3"/>
    <n v="15"/>
    <n v="127"/>
    <n v="1905"/>
    <x v="3"/>
    <x v="1"/>
    <n v="1905"/>
  </r>
  <r>
    <d v="2024-09-15T00:00:00"/>
    <n v="2024"/>
    <n v="9"/>
    <n v="3"/>
    <s v="Regata"/>
    <x v="2"/>
    <s v="Elisa"/>
    <x v="0"/>
    <n v="8"/>
    <n v="168"/>
    <n v="1344"/>
    <x v="0"/>
    <x v="2"/>
    <n v="1344"/>
  </r>
  <r>
    <d v="2024-05-27T00:00:00"/>
    <n v="2024"/>
    <n v="5"/>
    <n v="2"/>
    <s v="Calça Jeans"/>
    <x v="1"/>
    <s v="Daniel"/>
    <x v="2"/>
    <n v="6"/>
    <n v="46"/>
    <n v="276"/>
    <x v="2"/>
    <x v="1"/>
    <n v="276"/>
  </r>
  <r>
    <d v="2024-09-08T00:00:00"/>
    <n v="2024"/>
    <n v="9"/>
    <n v="3"/>
    <s v="Regata"/>
    <x v="0"/>
    <s v="Bruno"/>
    <x v="4"/>
    <n v="10"/>
    <n v="128"/>
    <n v="1280"/>
    <x v="4"/>
    <x v="0"/>
    <n v="1280"/>
  </r>
  <r>
    <d v="2024-12-11T00:00:00"/>
    <n v="2024"/>
    <n v="12"/>
    <n v="4"/>
    <s v="Jaqueta"/>
    <x v="0"/>
    <s v="Carla"/>
    <x v="4"/>
    <n v="3"/>
    <n v="111"/>
    <n v="333"/>
    <x v="4"/>
    <x v="0"/>
    <n v="333"/>
  </r>
  <r>
    <d v="2024-05-26T00:00:00"/>
    <n v="2024"/>
    <n v="5"/>
    <n v="2"/>
    <s v="Cinto"/>
    <x v="1"/>
    <s v="Daniel"/>
    <x v="3"/>
    <n v="19"/>
    <n v="133"/>
    <n v="2527"/>
    <x v="3"/>
    <x v="1"/>
    <n v="2527"/>
  </r>
  <r>
    <d v="2024-05-27T00:00:00"/>
    <n v="2024"/>
    <n v="5"/>
    <n v="2"/>
    <s v="Cinto"/>
    <x v="2"/>
    <s v="Ana"/>
    <x v="2"/>
    <n v="17"/>
    <n v="181"/>
    <n v="3077"/>
    <x v="2"/>
    <x v="2"/>
    <n v="3077"/>
  </r>
  <r>
    <d v="2024-12-17T00:00:00"/>
    <n v="2024"/>
    <n v="12"/>
    <n v="4"/>
    <s v="Calça Jeans"/>
    <x v="1"/>
    <s v="Ana"/>
    <x v="4"/>
    <n v="7"/>
    <n v="48"/>
    <n v="336"/>
    <x v="4"/>
    <x v="1"/>
    <n v="336"/>
  </r>
  <r>
    <d v="2024-07-17T00:00:00"/>
    <n v="2024"/>
    <n v="7"/>
    <n v="3"/>
    <s v="Bermuda"/>
    <x v="2"/>
    <s v="Daniel"/>
    <x v="0"/>
    <n v="4"/>
    <n v="194"/>
    <n v="776"/>
    <x v="0"/>
    <x v="2"/>
    <n v="776"/>
  </r>
  <r>
    <d v="2024-11-03T00:00:00"/>
    <n v="2024"/>
    <n v="11"/>
    <n v="4"/>
    <s v="Bermuda"/>
    <x v="0"/>
    <s v="Daniel"/>
    <x v="3"/>
    <n v="14"/>
    <n v="114"/>
    <n v="1596"/>
    <x v="3"/>
    <x v="0"/>
    <n v="1596"/>
  </r>
  <r>
    <d v="2024-05-07T00:00:00"/>
    <n v="2024"/>
    <n v="5"/>
    <n v="2"/>
    <s v="Tênis"/>
    <x v="2"/>
    <s v="Daniel"/>
    <x v="2"/>
    <n v="15"/>
    <n v="37"/>
    <n v="555"/>
    <x v="2"/>
    <x v="2"/>
    <n v="555"/>
  </r>
  <r>
    <d v="2024-02-08T00:00:00"/>
    <n v="2024"/>
    <n v="2"/>
    <n v="1"/>
    <s v="Calça Jeans"/>
    <x v="0"/>
    <s v="Ana"/>
    <x v="3"/>
    <n v="8"/>
    <n v="57"/>
    <n v="456"/>
    <x v="3"/>
    <x v="0"/>
    <n v="456"/>
  </r>
  <r>
    <d v="2024-12-03T00:00:00"/>
    <n v="2024"/>
    <n v="12"/>
    <n v="4"/>
    <s v="Camiseta"/>
    <x v="2"/>
    <s v="Ana"/>
    <x v="0"/>
    <n v="15"/>
    <n v="34"/>
    <n v="510"/>
    <x v="0"/>
    <x v="2"/>
    <n v="510"/>
  </r>
  <r>
    <d v="2024-12-25T00:00:00"/>
    <n v="2024"/>
    <n v="12"/>
    <n v="4"/>
    <s v="Bermuda"/>
    <x v="2"/>
    <s v="Daniel"/>
    <x v="2"/>
    <n v="14"/>
    <n v="174"/>
    <n v="2436"/>
    <x v="2"/>
    <x v="2"/>
    <n v="2436"/>
  </r>
  <r>
    <d v="2024-05-08T00:00:00"/>
    <n v="2024"/>
    <n v="5"/>
    <n v="2"/>
    <s v="Moletom"/>
    <x v="2"/>
    <s v="Elisa"/>
    <x v="3"/>
    <n v="9"/>
    <n v="130"/>
    <n v="1170"/>
    <x v="3"/>
    <x v="2"/>
    <n v="1170"/>
  </r>
  <r>
    <d v="2024-09-23T00:00:00"/>
    <n v="2024"/>
    <n v="9"/>
    <n v="3"/>
    <s v="Meia"/>
    <x v="1"/>
    <s v="Elisa"/>
    <x v="1"/>
    <n v="8"/>
    <n v="193"/>
    <n v="1544"/>
    <x v="1"/>
    <x v="1"/>
    <n v="1544"/>
  </r>
  <r>
    <d v="2024-05-30T00:00:00"/>
    <n v="2024"/>
    <n v="5"/>
    <n v="2"/>
    <s v="Camiseta"/>
    <x v="1"/>
    <s v="Bruno"/>
    <x v="0"/>
    <n v="17"/>
    <n v="147"/>
    <n v="2499"/>
    <x v="0"/>
    <x v="1"/>
    <n v="2499"/>
  </r>
  <r>
    <d v="2024-10-24T00:00:00"/>
    <n v="2024"/>
    <n v="10"/>
    <n v="4"/>
    <s v="Jaqueta"/>
    <x v="0"/>
    <s v="Carla"/>
    <x v="0"/>
    <n v="2"/>
    <n v="176"/>
    <n v="352"/>
    <x v="0"/>
    <x v="0"/>
    <n v="352"/>
  </r>
  <r>
    <d v="2024-04-08T00:00:00"/>
    <n v="2024"/>
    <n v="4"/>
    <n v="2"/>
    <s v="Moletom"/>
    <x v="0"/>
    <s v="Elisa"/>
    <x v="0"/>
    <n v="3"/>
    <n v="93"/>
    <n v="279"/>
    <x v="0"/>
    <x v="0"/>
    <n v="279"/>
  </r>
  <r>
    <d v="2024-09-19T00:00:00"/>
    <n v="2024"/>
    <n v="9"/>
    <n v="3"/>
    <s v="Moletom"/>
    <x v="1"/>
    <s v="Ana"/>
    <x v="1"/>
    <n v="8"/>
    <n v="120"/>
    <n v="960"/>
    <x v="1"/>
    <x v="1"/>
    <n v="960"/>
  </r>
  <r>
    <d v="2024-09-08T00:00:00"/>
    <n v="2024"/>
    <n v="9"/>
    <n v="3"/>
    <s v="Calça Jeans"/>
    <x v="0"/>
    <s v="Elisa"/>
    <x v="1"/>
    <n v="12"/>
    <n v="146"/>
    <n v="1752"/>
    <x v="1"/>
    <x v="0"/>
    <n v="1752"/>
  </r>
  <r>
    <d v="2024-05-23T00:00:00"/>
    <n v="2024"/>
    <n v="5"/>
    <n v="2"/>
    <s v="Tênis"/>
    <x v="1"/>
    <s v="Bruno"/>
    <x v="4"/>
    <n v="1"/>
    <n v="127"/>
    <n v="127"/>
    <x v="4"/>
    <x v="1"/>
    <n v="127"/>
  </r>
  <r>
    <d v="2024-12-11T00:00:00"/>
    <n v="2024"/>
    <n v="12"/>
    <n v="4"/>
    <s v="Jaqueta"/>
    <x v="2"/>
    <s v="Bruno"/>
    <x v="3"/>
    <n v="10"/>
    <n v="40"/>
    <n v="400"/>
    <x v="3"/>
    <x v="2"/>
    <n v="400"/>
  </r>
  <r>
    <d v="2024-04-21T00:00:00"/>
    <n v="2024"/>
    <n v="4"/>
    <n v="2"/>
    <s v="Bermuda"/>
    <x v="0"/>
    <s v="Carla"/>
    <x v="4"/>
    <n v="3"/>
    <n v="83"/>
    <n v="249"/>
    <x v="4"/>
    <x v="0"/>
    <n v="249"/>
  </r>
  <r>
    <d v="2024-02-29T00:00:00"/>
    <n v="2024"/>
    <n v="2"/>
    <n v="1"/>
    <s v="Calça Jeans"/>
    <x v="0"/>
    <s v="Elisa"/>
    <x v="3"/>
    <n v="6"/>
    <n v="76"/>
    <n v="456"/>
    <x v="3"/>
    <x v="0"/>
    <n v="456"/>
  </r>
  <r>
    <d v="2024-01-02T00:00:00"/>
    <n v="2024"/>
    <n v="1"/>
    <n v="1"/>
    <s v="Bermuda"/>
    <x v="1"/>
    <s v="Ana"/>
    <x v="1"/>
    <n v="7"/>
    <n v="169"/>
    <n v="1183"/>
    <x v="1"/>
    <x v="1"/>
    <n v="1183"/>
  </r>
  <r>
    <d v="2024-10-30T00:00:00"/>
    <n v="2024"/>
    <n v="10"/>
    <n v="4"/>
    <s v="Calça Jeans"/>
    <x v="0"/>
    <s v="Ana"/>
    <x v="1"/>
    <n v="18"/>
    <n v="178"/>
    <n v="3204"/>
    <x v="1"/>
    <x v="0"/>
    <n v="3204"/>
  </r>
  <r>
    <d v="2024-09-10T00:00:00"/>
    <n v="2024"/>
    <n v="9"/>
    <n v="3"/>
    <s v="Calça Jeans"/>
    <x v="0"/>
    <s v="Daniel"/>
    <x v="4"/>
    <n v="11"/>
    <n v="168"/>
    <n v="1848"/>
    <x v="4"/>
    <x v="0"/>
    <n v="1848"/>
  </r>
  <r>
    <d v="2024-05-19T00:00:00"/>
    <n v="2024"/>
    <n v="5"/>
    <n v="2"/>
    <s v="Calça Jeans"/>
    <x v="2"/>
    <s v="Ana"/>
    <x v="2"/>
    <n v="19"/>
    <n v="34"/>
    <n v="646"/>
    <x v="2"/>
    <x v="2"/>
    <n v="646"/>
  </r>
  <r>
    <d v="2024-02-06T00:00:00"/>
    <n v="2024"/>
    <n v="2"/>
    <n v="1"/>
    <s v="Tênis"/>
    <x v="0"/>
    <s v="Carla"/>
    <x v="4"/>
    <n v="5"/>
    <n v="49"/>
    <n v="245"/>
    <x v="4"/>
    <x v="0"/>
    <n v="245"/>
  </r>
  <r>
    <d v="2024-06-08T00:00:00"/>
    <n v="2024"/>
    <n v="6"/>
    <n v="2"/>
    <s v="Calça Jeans"/>
    <x v="2"/>
    <s v="Carla"/>
    <x v="3"/>
    <n v="19"/>
    <n v="198"/>
    <n v="3762"/>
    <x v="3"/>
    <x v="2"/>
    <n v="3762"/>
  </r>
  <r>
    <d v="2024-01-09T00:00:00"/>
    <n v="2024"/>
    <n v="1"/>
    <n v="1"/>
    <s v="Boné"/>
    <x v="1"/>
    <s v="Ana"/>
    <x v="4"/>
    <n v="11"/>
    <n v="75"/>
    <n v="825"/>
    <x v="4"/>
    <x v="1"/>
    <n v="825"/>
  </r>
  <r>
    <d v="2024-08-20T00:00:00"/>
    <n v="2024"/>
    <n v="8"/>
    <n v="3"/>
    <s v="Meia"/>
    <x v="0"/>
    <s v="Ana"/>
    <x v="0"/>
    <n v="12"/>
    <n v="41"/>
    <n v="492"/>
    <x v="0"/>
    <x v="0"/>
    <n v="492"/>
  </r>
  <r>
    <d v="2024-04-08T00:00:00"/>
    <n v="2024"/>
    <n v="4"/>
    <n v="2"/>
    <s v="Bermuda"/>
    <x v="2"/>
    <s v="Daniel"/>
    <x v="3"/>
    <n v="10"/>
    <n v="99"/>
    <n v="990"/>
    <x v="3"/>
    <x v="2"/>
    <n v="990"/>
  </r>
  <r>
    <d v="2024-05-26T00:00:00"/>
    <n v="2024"/>
    <n v="5"/>
    <n v="2"/>
    <s v="Camiseta"/>
    <x v="1"/>
    <s v="Ana"/>
    <x v="3"/>
    <n v="8"/>
    <n v="46"/>
    <n v="368"/>
    <x v="3"/>
    <x v="1"/>
    <n v="368"/>
  </r>
  <r>
    <d v="2024-10-30T00:00:00"/>
    <n v="2024"/>
    <n v="10"/>
    <n v="4"/>
    <s v="Regata"/>
    <x v="0"/>
    <s v="Daniel"/>
    <x v="2"/>
    <n v="9"/>
    <n v="144"/>
    <n v="1296"/>
    <x v="2"/>
    <x v="0"/>
    <n v="1296"/>
  </r>
  <r>
    <d v="2024-07-26T00:00:00"/>
    <n v="2024"/>
    <n v="7"/>
    <n v="3"/>
    <s v="Jaqueta"/>
    <x v="1"/>
    <s v="Daniel"/>
    <x v="1"/>
    <n v="4"/>
    <n v="176"/>
    <n v="704"/>
    <x v="1"/>
    <x v="1"/>
    <n v="704"/>
  </r>
  <r>
    <d v="2024-05-10T00:00:00"/>
    <n v="2024"/>
    <n v="5"/>
    <n v="2"/>
    <s v="Cinto"/>
    <x v="0"/>
    <s v="Ana"/>
    <x v="3"/>
    <n v="5"/>
    <n v="183"/>
    <n v="915"/>
    <x v="3"/>
    <x v="0"/>
    <n v="915"/>
  </r>
  <r>
    <d v="2024-05-31T00:00:00"/>
    <n v="2024"/>
    <n v="5"/>
    <n v="2"/>
    <s v="Tênis"/>
    <x v="1"/>
    <s v="Bruno"/>
    <x v="1"/>
    <n v="8"/>
    <n v="77"/>
    <n v="616"/>
    <x v="1"/>
    <x v="1"/>
    <n v="616"/>
  </r>
  <r>
    <d v="2024-02-23T00:00:00"/>
    <n v="2024"/>
    <n v="2"/>
    <n v="1"/>
    <s v="Camiseta"/>
    <x v="1"/>
    <s v="Bruno"/>
    <x v="4"/>
    <n v="9"/>
    <n v="137"/>
    <n v="1233"/>
    <x v="4"/>
    <x v="1"/>
    <n v="1233"/>
  </r>
  <r>
    <d v="2024-04-29T00:00:00"/>
    <n v="2024"/>
    <n v="4"/>
    <n v="2"/>
    <s v="Moletom"/>
    <x v="2"/>
    <s v="Daniel"/>
    <x v="0"/>
    <n v="15"/>
    <n v="81"/>
    <n v="1215"/>
    <x v="0"/>
    <x v="2"/>
    <n v="1215"/>
  </r>
  <r>
    <d v="2024-06-09T00:00:00"/>
    <n v="2024"/>
    <n v="6"/>
    <n v="2"/>
    <s v="Boné"/>
    <x v="1"/>
    <s v="Ana"/>
    <x v="2"/>
    <n v="15"/>
    <n v="125"/>
    <n v="1875"/>
    <x v="2"/>
    <x v="1"/>
    <n v="1875"/>
  </r>
  <r>
    <d v="2024-04-25T00:00:00"/>
    <n v="2024"/>
    <n v="4"/>
    <n v="2"/>
    <s v="Cinto"/>
    <x v="0"/>
    <s v="Bruno"/>
    <x v="1"/>
    <n v="16"/>
    <n v="99"/>
    <n v="1584"/>
    <x v="1"/>
    <x v="0"/>
    <n v="1584"/>
  </r>
  <r>
    <d v="2024-03-15T00:00:00"/>
    <n v="2024"/>
    <n v="3"/>
    <n v="1"/>
    <s v="Regata"/>
    <x v="0"/>
    <s v="Ana"/>
    <x v="3"/>
    <n v="14"/>
    <n v="131"/>
    <n v="1834"/>
    <x v="3"/>
    <x v="0"/>
    <n v="1834"/>
  </r>
  <r>
    <d v="2024-04-22T00:00:00"/>
    <n v="2024"/>
    <n v="4"/>
    <n v="2"/>
    <s v="Camiseta"/>
    <x v="2"/>
    <s v="Ana"/>
    <x v="1"/>
    <n v="8"/>
    <n v="104"/>
    <n v="832"/>
    <x v="1"/>
    <x v="2"/>
    <n v="832"/>
  </r>
  <r>
    <d v="2024-04-13T00:00:00"/>
    <n v="2024"/>
    <n v="4"/>
    <n v="2"/>
    <s v="Cinto"/>
    <x v="0"/>
    <s v="Ana"/>
    <x v="3"/>
    <n v="18"/>
    <n v="190"/>
    <n v="3420"/>
    <x v="3"/>
    <x v="0"/>
    <n v="3420"/>
  </r>
  <r>
    <d v="2024-12-05T00:00:00"/>
    <n v="2024"/>
    <n v="12"/>
    <n v="4"/>
    <s v="Camiseta"/>
    <x v="0"/>
    <s v="Elisa"/>
    <x v="1"/>
    <n v="10"/>
    <n v="180"/>
    <n v="1800"/>
    <x v="1"/>
    <x v="0"/>
    <n v="1800"/>
  </r>
  <r>
    <d v="2024-09-10T00:00:00"/>
    <n v="2024"/>
    <n v="9"/>
    <n v="3"/>
    <s v="Boné"/>
    <x v="0"/>
    <s v="Ana"/>
    <x v="3"/>
    <n v="6"/>
    <n v="172"/>
    <n v="1032"/>
    <x v="3"/>
    <x v="0"/>
    <n v="1032"/>
  </r>
  <r>
    <d v="2024-08-14T00:00:00"/>
    <n v="2024"/>
    <n v="8"/>
    <n v="3"/>
    <s v="Regata"/>
    <x v="1"/>
    <s v="Elisa"/>
    <x v="4"/>
    <n v="12"/>
    <n v="184"/>
    <n v="2208"/>
    <x v="4"/>
    <x v="1"/>
    <n v="2208"/>
  </r>
  <r>
    <d v="2024-04-21T00:00:00"/>
    <n v="2024"/>
    <n v="4"/>
    <n v="2"/>
    <s v="Moletom"/>
    <x v="1"/>
    <s v="Daniel"/>
    <x v="3"/>
    <n v="2"/>
    <n v="111"/>
    <n v="222"/>
    <x v="3"/>
    <x v="1"/>
    <n v="222"/>
  </r>
  <r>
    <d v="2024-04-08T00:00:00"/>
    <n v="2024"/>
    <n v="4"/>
    <n v="2"/>
    <s v="Calça Jeans"/>
    <x v="0"/>
    <s v="Bruno"/>
    <x v="3"/>
    <n v="7"/>
    <n v="121"/>
    <n v="847"/>
    <x v="3"/>
    <x v="0"/>
    <n v="847"/>
  </r>
  <r>
    <d v="2024-06-01T00:00:00"/>
    <n v="2024"/>
    <n v="6"/>
    <n v="2"/>
    <s v="Bermuda"/>
    <x v="2"/>
    <s v="Bruno"/>
    <x v="0"/>
    <n v="16"/>
    <n v="33"/>
    <n v="528"/>
    <x v="0"/>
    <x v="2"/>
    <n v="528"/>
  </r>
  <r>
    <d v="2024-12-14T00:00:00"/>
    <n v="2024"/>
    <n v="12"/>
    <n v="4"/>
    <s v="Moletom"/>
    <x v="1"/>
    <s v="Bruno"/>
    <x v="3"/>
    <n v="3"/>
    <n v="164"/>
    <n v="492"/>
    <x v="3"/>
    <x v="1"/>
    <n v="492"/>
  </r>
  <r>
    <d v="2024-12-31T00:00:00"/>
    <n v="2024"/>
    <n v="12"/>
    <n v="4"/>
    <s v="Calça Jeans"/>
    <x v="2"/>
    <s v="Bruno"/>
    <x v="0"/>
    <n v="13"/>
    <n v="138"/>
    <n v="1794"/>
    <x v="0"/>
    <x v="2"/>
    <n v="1794"/>
  </r>
  <r>
    <d v="2024-12-03T00:00:00"/>
    <n v="2024"/>
    <n v="12"/>
    <n v="4"/>
    <s v="Tênis"/>
    <x v="0"/>
    <s v="Bruno"/>
    <x v="2"/>
    <n v="3"/>
    <n v="192"/>
    <n v="576"/>
    <x v="2"/>
    <x v="0"/>
    <n v="576"/>
  </r>
  <r>
    <d v="2024-07-12T00:00:00"/>
    <n v="2024"/>
    <n v="7"/>
    <n v="3"/>
    <s v="Meia"/>
    <x v="0"/>
    <s v="Bruno"/>
    <x v="0"/>
    <n v="18"/>
    <n v="77"/>
    <n v="1386"/>
    <x v="0"/>
    <x v="0"/>
    <n v="1386"/>
  </r>
  <r>
    <d v="2024-11-05T00:00:00"/>
    <n v="2024"/>
    <n v="11"/>
    <n v="4"/>
    <s v="Jaqueta"/>
    <x v="1"/>
    <s v="Bruno"/>
    <x v="4"/>
    <n v="11"/>
    <n v="102"/>
    <n v="1122"/>
    <x v="4"/>
    <x v="1"/>
    <n v="1122"/>
  </r>
  <r>
    <d v="2024-06-11T00:00:00"/>
    <n v="2024"/>
    <n v="6"/>
    <n v="2"/>
    <s v="Jaqueta"/>
    <x v="0"/>
    <s v="Daniel"/>
    <x v="0"/>
    <n v="8"/>
    <n v="101"/>
    <n v="808"/>
    <x v="0"/>
    <x v="0"/>
    <n v="808"/>
  </r>
  <r>
    <d v="2024-07-26T00:00:00"/>
    <n v="2024"/>
    <n v="7"/>
    <n v="3"/>
    <s v="Bermuda"/>
    <x v="1"/>
    <s v="Ana"/>
    <x v="2"/>
    <n v="6"/>
    <n v="145"/>
    <n v="870"/>
    <x v="2"/>
    <x v="1"/>
    <n v="870"/>
  </r>
  <r>
    <d v="2024-06-17T00:00:00"/>
    <n v="2024"/>
    <n v="6"/>
    <n v="2"/>
    <s v="Regata"/>
    <x v="0"/>
    <s v="Carla"/>
    <x v="4"/>
    <n v="1"/>
    <n v="110"/>
    <n v="110"/>
    <x v="4"/>
    <x v="0"/>
    <n v="110"/>
  </r>
  <r>
    <d v="2024-06-09T00:00:00"/>
    <n v="2024"/>
    <n v="6"/>
    <n v="2"/>
    <s v="Boné"/>
    <x v="0"/>
    <s v="Elisa"/>
    <x v="1"/>
    <n v="1"/>
    <n v="110"/>
    <n v="110"/>
    <x v="1"/>
    <x v="0"/>
    <n v="110"/>
  </r>
  <r>
    <d v="2024-03-08T00:00:00"/>
    <n v="2024"/>
    <n v="3"/>
    <n v="1"/>
    <s v="Regata"/>
    <x v="1"/>
    <s v="Carla"/>
    <x v="1"/>
    <n v="8"/>
    <n v="142"/>
    <n v="1136"/>
    <x v="1"/>
    <x v="1"/>
    <n v="1136"/>
  </r>
  <r>
    <d v="2024-10-15T00:00:00"/>
    <n v="2024"/>
    <n v="10"/>
    <n v="4"/>
    <s v="Boné"/>
    <x v="1"/>
    <s v="Carla"/>
    <x v="0"/>
    <n v="5"/>
    <n v="125"/>
    <n v="625"/>
    <x v="0"/>
    <x v="1"/>
    <n v="625"/>
  </r>
  <r>
    <d v="2024-10-03T00:00:00"/>
    <n v="2024"/>
    <n v="10"/>
    <n v="4"/>
    <s v="Regata"/>
    <x v="1"/>
    <s v="Ana"/>
    <x v="0"/>
    <n v="16"/>
    <n v="101"/>
    <n v="1616"/>
    <x v="0"/>
    <x v="1"/>
    <n v="1616"/>
  </r>
  <r>
    <d v="2024-10-30T00:00:00"/>
    <n v="2024"/>
    <n v="10"/>
    <n v="4"/>
    <s v="Meia"/>
    <x v="0"/>
    <s v="Ana"/>
    <x v="2"/>
    <n v="11"/>
    <n v="176"/>
    <n v="1936"/>
    <x v="2"/>
    <x v="0"/>
    <n v="1936"/>
  </r>
  <r>
    <d v="2024-05-14T00:00:00"/>
    <n v="2024"/>
    <n v="5"/>
    <n v="2"/>
    <s v="Tênis"/>
    <x v="0"/>
    <s v="Ana"/>
    <x v="2"/>
    <n v="5"/>
    <n v="92"/>
    <n v="460"/>
    <x v="2"/>
    <x v="0"/>
    <n v="460"/>
  </r>
  <r>
    <d v="2024-07-13T00:00:00"/>
    <n v="2024"/>
    <n v="7"/>
    <n v="3"/>
    <s v="Tênis"/>
    <x v="2"/>
    <s v="Bruno"/>
    <x v="3"/>
    <n v="4"/>
    <n v="67"/>
    <n v="268"/>
    <x v="3"/>
    <x v="2"/>
    <n v="268"/>
  </r>
  <r>
    <d v="2024-05-07T00:00:00"/>
    <n v="2024"/>
    <n v="5"/>
    <n v="2"/>
    <s v="Calça Jeans"/>
    <x v="1"/>
    <s v="Daniel"/>
    <x v="2"/>
    <n v="6"/>
    <n v="96"/>
    <n v="576"/>
    <x v="2"/>
    <x v="1"/>
    <n v="576"/>
  </r>
  <r>
    <d v="2024-02-02T00:00:00"/>
    <n v="2024"/>
    <n v="2"/>
    <n v="1"/>
    <s v="Cinto"/>
    <x v="0"/>
    <s v="Bruno"/>
    <x v="3"/>
    <n v="14"/>
    <n v="98"/>
    <n v="1372"/>
    <x v="3"/>
    <x v="0"/>
    <n v="1372"/>
  </r>
  <r>
    <d v="2024-06-24T00:00:00"/>
    <n v="2024"/>
    <n v="6"/>
    <n v="2"/>
    <s v="Tênis"/>
    <x v="0"/>
    <s v="Daniel"/>
    <x v="4"/>
    <n v="19"/>
    <n v="42"/>
    <n v="798"/>
    <x v="4"/>
    <x v="0"/>
    <n v="798"/>
  </r>
  <r>
    <d v="2024-01-22T00:00:00"/>
    <n v="2024"/>
    <n v="1"/>
    <n v="1"/>
    <s v="Tênis"/>
    <x v="1"/>
    <s v="Daniel"/>
    <x v="0"/>
    <n v="9"/>
    <n v="60"/>
    <n v="540"/>
    <x v="0"/>
    <x v="1"/>
    <n v="540"/>
  </r>
  <r>
    <d v="2024-08-25T00:00:00"/>
    <n v="2024"/>
    <n v="8"/>
    <n v="3"/>
    <s v="Moletom"/>
    <x v="2"/>
    <s v="Carla"/>
    <x v="4"/>
    <n v="12"/>
    <n v="143"/>
    <n v="1716"/>
    <x v="4"/>
    <x v="2"/>
    <n v="1716"/>
  </r>
  <r>
    <d v="2024-06-06T00:00:00"/>
    <n v="2024"/>
    <n v="6"/>
    <n v="2"/>
    <s v="Moletom"/>
    <x v="1"/>
    <s v="Carla"/>
    <x v="2"/>
    <n v="11"/>
    <n v="51"/>
    <n v="561"/>
    <x v="2"/>
    <x v="1"/>
    <n v="561"/>
  </r>
  <r>
    <d v="2024-02-07T00:00:00"/>
    <n v="2024"/>
    <n v="2"/>
    <n v="1"/>
    <s v="Calça Jeans"/>
    <x v="2"/>
    <s v="Daniel"/>
    <x v="4"/>
    <n v="14"/>
    <n v="122"/>
    <n v="1708"/>
    <x v="4"/>
    <x v="2"/>
    <n v="1708"/>
  </r>
  <r>
    <d v="2024-08-17T00:00:00"/>
    <n v="2024"/>
    <n v="8"/>
    <n v="3"/>
    <s v="Cinto"/>
    <x v="0"/>
    <s v="Daniel"/>
    <x v="4"/>
    <n v="16"/>
    <n v="96"/>
    <n v="1536"/>
    <x v="4"/>
    <x v="0"/>
    <n v="1536"/>
  </r>
  <r>
    <d v="2024-12-30T00:00:00"/>
    <n v="2024"/>
    <n v="12"/>
    <n v="4"/>
    <s v="Bermuda"/>
    <x v="2"/>
    <s v="Bruno"/>
    <x v="4"/>
    <n v="1"/>
    <n v="83"/>
    <n v="83"/>
    <x v="4"/>
    <x v="2"/>
    <n v="83"/>
  </r>
  <r>
    <d v="2024-02-20T00:00:00"/>
    <n v="2024"/>
    <n v="2"/>
    <n v="1"/>
    <s v="Moletom"/>
    <x v="0"/>
    <s v="Bruno"/>
    <x v="2"/>
    <n v="13"/>
    <n v="167"/>
    <n v="2171"/>
    <x v="2"/>
    <x v="0"/>
    <n v="2171"/>
  </r>
  <r>
    <d v="2024-09-20T00:00:00"/>
    <n v="2024"/>
    <n v="9"/>
    <n v="3"/>
    <s v="Bermuda"/>
    <x v="1"/>
    <s v="Carla"/>
    <x v="4"/>
    <n v="13"/>
    <n v="71"/>
    <n v="923"/>
    <x v="4"/>
    <x v="1"/>
    <n v="923"/>
  </r>
  <r>
    <d v="2024-10-09T00:00:00"/>
    <n v="2024"/>
    <n v="10"/>
    <n v="4"/>
    <s v="Camiseta"/>
    <x v="1"/>
    <s v="Ana"/>
    <x v="3"/>
    <n v="2"/>
    <n v="93"/>
    <n v="186"/>
    <x v="3"/>
    <x v="1"/>
    <n v="186"/>
  </r>
  <r>
    <d v="2024-01-27T00:00:00"/>
    <n v="2024"/>
    <n v="1"/>
    <n v="1"/>
    <s v="Moletom"/>
    <x v="1"/>
    <s v="Daniel"/>
    <x v="2"/>
    <n v="4"/>
    <n v="155"/>
    <n v="620"/>
    <x v="2"/>
    <x v="1"/>
    <n v="620"/>
  </r>
  <r>
    <d v="2024-08-13T00:00:00"/>
    <n v="2024"/>
    <n v="8"/>
    <n v="3"/>
    <s v="Meia"/>
    <x v="2"/>
    <s v="Bruno"/>
    <x v="4"/>
    <n v="6"/>
    <n v="50"/>
    <n v="300"/>
    <x v="4"/>
    <x v="2"/>
    <n v="300"/>
  </r>
  <r>
    <d v="2024-10-03T00:00:00"/>
    <n v="2024"/>
    <n v="10"/>
    <n v="4"/>
    <s v="Cinto"/>
    <x v="0"/>
    <s v="Carla"/>
    <x v="2"/>
    <n v="5"/>
    <n v="198"/>
    <n v="990"/>
    <x v="2"/>
    <x v="0"/>
    <n v="990"/>
  </r>
  <r>
    <d v="2024-10-12T00:00:00"/>
    <n v="2024"/>
    <n v="10"/>
    <n v="4"/>
    <s v="Calça Jeans"/>
    <x v="1"/>
    <s v="Bruno"/>
    <x v="1"/>
    <n v="3"/>
    <n v="181"/>
    <n v="543"/>
    <x v="1"/>
    <x v="1"/>
    <n v="543"/>
  </r>
  <r>
    <d v="2024-04-06T00:00:00"/>
    <n v="2024"/>
    <n v="4"/>
    <n v="2"/>
    <s v="Camiseta"/>
    <x v="1"/>
    <s v="Daniel"/>
    <x v="3"/>
    <n v="1"/>
    <n v="64"/>
    <n v="64"/>
    <x v="3"/>
    <x v="1"/>
    <n v="64"/>
  </r>
  <r>
    <d v="2024-10-10T00:00:00"/>
    <n v="2024"/>
    <n v="10"/>
    <n v="4"/>
    <s v="Cinto"/>
    <x v="0"/>
    <s v="Daniel"/>
    <x v="4"/>
    <n v="4"/>
    <n v="59"/>
    <n v="236"/>
    <x v="4"/>
    <x v="0"/>
    <n v="236"/>
  </r>
  <r>
    <d v="2024-11-12T00:00:00"/>
    <n v="2024"/>
    <n v="11"/>
    <n v="4"/>
    <s v="Meia"/>
    <x v="1"/>
    <s v="Elisa"/>
    <x v="1"/>
    <n v="2"/>
    <n v="86"/>
    <n v="172"/>
    <x v="1"/>
    <x v="1"/>
    <n v="172"/>
  </r>
  <r>
    <d v="2024-10-30T00:00:00"/>
    <n v="2024"/>
    <n v="10"/>
    <n v="4"/>
    <s v="Cinto"/>
    <x v="0"/>
    <s v="Ana"/>
    <x v="1"/>
    <n v="5"/>
    <n v="76"/>
    <n v="380"/>
    <x v="1"/>
    <x v="0"/>
    <n v="380"/>
  </r>
  <r>
    <d v="2024-05-26T00:00:00"/>
    <n v="2024"/>
    <n v="5"/>
    <n v="2"/>
    <s v="Meia"/>
    <x v="0"/>
    <s v="Elisa"/>
    <x v="2"/>
    <n v="3"/>
    <n v="192"/>
    <n v="576"/>
    <x v="2"/>
    <x v="0"/>
    <n v="576"/>
  </r>
  <r>
    <d v="2024-01-04T00:00:00"/>
    <n v="2024"/>
    <n v="1"/>
    <n v="1"/>
    <s v="Meia"/>
    <x v="0"/>
    <s v="Carla"/>
    <x v="1"/>
    <n v="9"/>
    <n v="48"/>
    <n v="432"/>
    <x v="1"/>
    <x v="0"/>
    <n v="432"/>
  </r>
  <r>
    <d v="2024-02-04T00:00:00"/>
    <n v="2024"/>
    <n v="2"/>
    <n v="1"/>
    <s v="Bermuda"/>
    <x v="0"/>
    <s v="Bruno"/>
    <x v="3"/>
    <n v="6"/>
    <n v="143"/>
    <n v="858"/>
    <x v="3"/>
    <x v="0"/>
    <n v="858"/>
  </r>
  <r>
    <d v="2024-07-10T00:00:00"/>
    <n v="2024"/>
    <n v="7"/>
    <n v="3"/>
    <s v="Regata"/>
    <x v="0"/>
    <s v="Carla"/>
    <x v="3"/>
    <n v="18"/>
    <n v="37"/>
    <n v="666"/>
    <x v="3"/>
    <x v="0"/>
    <n v="666"/>
  </r>
  <r>
    <d v="2024-02-18T00:00:00"/>
    <n v="2024"/>
    <n v="2"/>
    <n v="1"/>
    <s v="Camiseta"/>
    <x v="2"/>
    <s v="Daniel"/>
    <x v="0"/>
    <n v="6"/>
    <n v="55"/>
    <n v="330"/>
    <x v="0"/>
    <x v="2"/>
    <n v="330"/>
  </r>
  <r>
    <d v="2024-01-17T00:00:00"/>
    <n v="2024"/>
    <n v="1"/>
    <n v="1"/>
    <s v="Cinto"/>
    <x v="1"/>
    <s v="Elisa"/>
    <x v="3"/>
    <n v="19"/>
    <n v="142"/>
    <n v="2698"/>
    <x v="3"/>
    <x v="1"/>
    <n v="2698"/>
  </r>
  <r>
    <d v="2024-06-20T00:00:00"/>
    <n v="2024"/>
    <n v="6"/>
    <n v="2"/>
    <s v="Boné"/>
    <x v="2"/>
    <s v="Elisa"/>
    <x v="1"/>
    <n v="12"/>
    <n v="100"/>
    <n v="1200"/>
    <x v="1"/>
    <x v="2"/>
    <n v="1200"/>
  </r>
  <r>
    <d v="2024-08-07T00:00:00"/>
    <n v="2024"/>
    <n v="8"/>
    <n v="3"/>
    <s v="Camiseta"/>
    <x v="1"/>
    <s v="Elisa"/>
    <x v="3"/>
    <n v="11"/>
    <n v="59"/>
    <n v="649"/>
    <x v="3"/>
    <x v="1"/>
    <n v="649"/>
  </r>
  <r>
    <d v="2024-06-06T00:00:00"/>
    <n v="2024"/>
    <n v="6"/>
    <n v="2"/>
    <s v="Regata"/>
    <x v="2"/>
    <s v="Carla"/>
    <x v="2"/>
    <n v="2"/>
    <n v="164"/>
    <n v="328"/>
    <x v="2"/>
    <x v="2"/>
    <n v="328"/>
  </r>
  <r>
    <d v="2024-02-15T00:00:00"/>
    <n v="2024"/>
    <n v="2"/>
    <n v="1"/>
    <s v="Camiseta"/>
    <x v="0"/>
    <s v="Daniel"/>
    <x v="0"/>
    <n v="15"/>
    <n v="96"/>
    <n v="1440"/>
    <x v="0"/>
    <x v="0"/>
    <n v="1440"/>
  </r>
  <r>
    <d v="2024-01-06T00:00:00"/>
    <n v="2024"/>
    <n v="1"/>
    <n v="1"/>
    <s v="Tênis"/>
    <x v="1"/>
    <s v="Bruno"/>
    <x v="1"/>
    <n v="12"/>
    <n v="94"/>
    <n v="1128"/>
    <x v="1"/>
    <x v="1"/>
    <n v="1128"/>
  </r>
  <r>
    <d v="2024-04-08T00:00:00"/>
    <n v="2024"/>
    <n v="4"/>
    <n v="2"/>
    <s v="Boné"/>
    <x v="1"/>
    <s v="Bruno"/>
    <x v="0"/>
    <n v="12"/>
    <n v="65"/>
    <n v="780"/>
    <x v="0"/>
    <x v="1"/>
    <n v="780"/>
  </r>
  <r>
    <d v="2024-08-20T00:00:00"/>
    <n v="2024"/>
    <n v="8"/>
    <n v="3"/>
    <s v="Regata"/>
    <x v="2"/>
    <s v="Carla"/>
    <x v="1"/>
    <n v="9"/>
    <n v="54"/>
    <n v="486"/>
    <x v="1"/>
    <x v="2"/>
    <n v="486"/>
  </r>
  <r>
    <d v="2024-02-06T00:00:00"/>
    <n v="2024"/>
    <n v="2"/>
    <n v="1"/>
    <s v="Bermuda"/>
    <x v="2"/>
    <s v="Elisa"/>
    <x v="2"/>
    <n v="2"/>
    <n v="66"/>
    <n v="132"/>
    <x v="2"/>
    <x v="2"/>
    <n v="132"/>
  </r>
  <r>
    <d v="2024-10-06T00:00:00"/>
    <n v="2024"/>
    <n v="10"/>
    <n v="4"/>
    <s v="Cinto"/>
    <x v="1"/>
    <s v="Ana"/>
    <x v="0"/>
    <n v="3"/>
    <n v="30"/>
    <n v="90"/>
    <x v="0"/>
    <x v="1"/>
    <n v="90"/>
  </r>
  <r>
    <d v="2024-12-14T00:00:00"/>
    <n v="2024"/>
    <n v="12"/>
    <n v="4"/>
    <s v="Jaqueta"/>
    <x v="2"/>
    <s v="Carla"/>
    <x v="4"/>
    <n v="12"/>
    <n v="172"/>
    <n v="2064"/>
    <x v="4"/>
    <x v="2"/>
    <n v="2064"/>
  </r>
  <r>
    <d v="2024-10-28T00:00:00"/>
    <n v="2024"/>
    <n v="10"/>
    <n v="4"/>
    <s v="Regata"/>
    <x v="2"/>
    <s v="Carla"/>
    <x v="1"/>
    <n v="16"/>
    <n v="66"/>
    <n v="1056"/>
    <x v="1"/>
    <x v="2"/>
    <n v="1056"/>
  </r>
  <r>
    <d v="2024-06-29T00:00:00"/>
    <n v="2024"/>
    <n v="6"/>
    <n v="2"/>
    <s v="Calça Jeans"/>
    <x v="2"/>
    <s v="Daniel"/>
    <x v="4"/>
    <n v="1"/>
    <n v="170"/>
    <n v="170"/>
    <x v="4"/>
    <x v="2"/>
    <n v="170"/>
  </r>
  <r>
    <d v="2024-04-04T00:00:00"/>
    <n v="2024"/>
    <n v="4"/>
    <n v="2"/>
    <s v="Cinto"/>
    <x v="0"/>
    <s v="Bruno"/>
    <x v="0"/>
    <n v="3"/>
    <n v="165"/>
    <n v="495"/>
    <x v="0"/>
    <x v="0"/>
    <n v="495"/>
  </r>
  <r>
    <d v="2024-04-08T00:00:00"/>
    <n v="2024"/>
    <n v="4"/>
    <n v="2"/>
    <s v="Regata"/>
    <x v="0"/>
    <s v="Carla"/>
    <x v="4"/>
    <n v="2"/>
    <n v="162"/>
    <n v="324"/>
    <x v="4"/>
    <x v="0"/>
    <n v="324"/>
  </r>
  <r>
    <d v="2024-07-06T00:00:00"/>
    <n v="2024"/>
    <n v="7"/>
    <n v="3"/>
    <s v="Tênis"/>
    <x v="2"/>
    <s v="Carla"/>
    <x v="4"/>
    <n v="9"/>
    <n v="157"/>
    <n v="1413"/>
    <x v="4"/>
    <x v="2"/>
    <n v="1413"/>
  </r>
  <r>
    <d v="2024-04-25T00:00:00"/>
    <n v="2024"/>
    <n v="4"/>
    <n v="2"/>
    <s v="Jaqueta"/>
    <x v="2"/>
    <s v="Elisa"/>
    <x v="0"/>
    <n v="19"/>
    <n v="156"/>
    <n v="2964"/>
    <x v="0"/>
    <x v="2"/>
    <n v="2964"/>
  </r>
  <r>
    <d v="2024-07-09T00:00:00"/>
    <n v="2024"/>
    <n v="7"/>
    <n v="3"/>
    <s v="Tênis"/>
    <x v="0"/>
    <s v="Elisa"/>
    <x v="2"/>
    <n v="15"/>
    <n v="30"/>
    <n v="450"/>
    <x v="2"/>
    <x v="0"/>
    <n v="450"/>
  </r>
  <r>
    <d v="2024-09-09T00:00:00"/>
    <n v="2024"/>
    <n v="9"/>
    <n v="3"/>
    <s v="Jaqueta"/>
    <x v="0"/>
    <s v="Ana"/>
    <x v="4"/>
    <n v="18"/>
    <n v="193"/>
    <n v="3474"/>
    <x v="4"/>
    <x v="0"/>
    <n v="3474"/>
  </r>
  <r>
    <d v="2024-06-09T00:00:00"/>
    <n v="2024"/>
    <n v="6"/>
    <n v="2"/>
    <s v="Calça Jeans"/>
    <x v="1"/>
    <s v="Daniel"/>
    <x v="4"/>
    <n v="11"/>
    <n v="64"/>
    <n v="704"/>
    <x v="4"/>
    <x v="1"/>
    <n v="704"/>
  </r>
  <r>
    <d v="2024-09-12T00:00:00"/>
    <n v="2024"/>
    <n v="9"/>
    <n v="3"/>
    <s v="Cinto"/>
    <x v="1"/>
    <s v="Ana"/>
    <x v="2"/>
    <n v="16"/>
    <n v="133"/>
    <n v="2128"/>
    <x v="2"/>
    <x v="1"/>
    <n v="2128"/>
  </r>
  <r>
    <d v="2024-11-18T00:00:00"/>
    <n v="2024"/>
    <n v="11"/>
    <n v="4"/>
    <s v="Bermuda"/>
    <x v="0"/>
    <s v="Elisa"/>
    <x v="4"/>
    <n v="17"/>
    <n v="52"/>
    <n v="884"/>
    <x v="4"/>
    <x v="0"/>
    <n v="884"/>
  </r>
  <r>
    <d v="2024-05-07T00:00:00"/>
    <n v="2024"/>
    <n v="5"/>
    <n v="2"/>
    <s v="Tênis"/>
    <x v="2"/>
    <s v="Bruno"/>
    <x v="4"/>
    <n v="5"/>
    <n v="38"/>
    <n v="190"/>
    <x v="4"/>
    <x v="2"/>
    <n v="190"/>
  </r>
  <r>
    <d v="2024-01-18T00:00:00"/>
    <n v="2024"/>
    <n v="1"/>
    <n v="1"/>
    <s v="Tênis"/>
    <x v="2"/>
    <s v="Elisa"/>
    <x v="4"/>
    <n v="12"/>
    <n v="63"/>
    <n v="756"/>
    <x v="4"/>
    <x v="2"/>
    <n v="756"/>
  </r>
  <r>
    <d v="2024-10-07T00:00:00"/>
    <n v="2024"/>
    <n v="10"/>
    <n v="4"/>
    <s v="Meia"/>
    <x v="2"/>
    <s v="Daniel"/>
    <x v="3"/>
    <n v="11"/>
    <n v="157"/>
    <n v="1727"/>
    <x v="3"/>
    <x v="2"/>
    <n v="1727"/>
  </r>
  <r>
    <d v="2024-08-10T00:00:00"/>
    <n v="2024"/>
    <n v="8"/>
    <n v="3"/>
    <s v="Jaqueta"/>
    <x v="2"/>
    <s v="Elisa"/>
    <x v="2"/>
    <n v="15"/>
    <n v="33"/>
    <n v="495"/>
    <x v="2"/>
    <x v="2"/>
    <n v="495"/>
  </r>
  <r>
    <d v="2024-02-23T00:00:00"/>
    <n v="2024"/>
    <n v="2"/>
    <n v="1"/>
    <s v="Moletom"/>
    <x v="1"/>
    <s v="Daniel"/>
    <x v="4"/>
    <n v="3"/>
    <n v="187"/>
    <n v="561"/>
    <x v="4"/>
    <x v="1"/>
    <n v="561"/>
  </r>
  <r>
    <d v="2024-02-27T00:00:00"/>
    <n v="2024"/>
    <n v="2"/>
    <n v="1"/>
    <s v="Cinto"/>
    <x v="0"/>
    <s v="Daniel"/>
    <x v="2"/>
    <n v="1"/>
    <n v="131"/>
    <n v="131"/>
    <x v="2"/>
    <x v="0"/>
    <n v="131"/>
  </r>
  <r>
    <d v="2024-11-18T00:00:00"/>
    <n v="2024"/>
    <n v="11"/>
    <n v="4"/>
    <s v="Jaqueta"/>
    <x v="2"/>
    <s v="Daniel"/>
    <x v="1"/>
    <n v="16"/>
    <n v="104"/>
    <n v="1664"/>
    <x v="1"/>
    <x v="2"/>
    <n v="1664"/>
  </r>
  <r>
    <d v="2024-12-25T00:00:00"/>
    <n v="2024"/>
    <n v="12"/>
    <n v="4"/>
    <s v="Meia"/>
    <x v="1"/>
    <s v="Daniel"/>
    <x v="1"/>
    <n v="2"/>
    <n v="128"/>
    <n v="256"/>
    <x v="1"/>
    <x v="1"/>
    <n v="256"/>
  </r>
  <r>
    <d v="2024-06-22T00:00:00"/>
    <n v="2024"/>
    <n v="6"/>
    <n v="2"/>
    <s v="Camiseta"/>
    <x v="2"/>
    <s v="Daniel"/>
    <x v="4"/>
    <n v="2"/>
    <n v="101"/>
    <n v="202"/>
    <x v="4"/>
    <x v="2"/>
    <n v="202"/>
  </r>
  <r>
    <d v="2024-10-06T00:00:00"/>
    <n v="2024"/>
    <n v="10"/>
    <n v="4"/>
    <s v="Jaqueta"/>
    <x v="0"/>
    <s v="Bruno"/>
    <x v="2"/>
    <n v="3"/>
    <n v="32"/>
    <n v="96"/>
    <x v="2"/>
    <x v="0"/>
    <n v="96"/>
  </r>
  <r>
    <d v="2024-04-23T00:00:00"/>
    <n v="2024"/>
    <n v="4"/>
    <n v="2"/>
    <s v="Bermuda"/>
    <x v="1"/>
    <s v="Ana"/>
    <x v="2"/>
    <n v="8"/>
    <n v="171"/>
    <n v="1368"/>
    <x v="2"/>
    <x v="1"/>
    <n v="1368"/>
  </r>
  <r>
    <d v="2024-10-14T00:00:00"/>
    <n v="2024"/>
    <n v="10"/>
    <n v="4"/>
    <s v="Cinto"/>
    <x v="0"/>
    <s v="Carla"/>
    <x v="2"/>
    <n v="15"/>
    <n v="63"/>
    <n v="945"/>
    <x v="2"/>
    <x v="0"/>
    <n v="945"/>
  </r>
  <r>
    <d v="2024-12-07T00:00:00"/>
    <n v="2024"/>
    <n v="12"/>
    <n v="4"/>
    <s v="Meia"/>
    <x v="0"/>
    <s v="Ana"/>
    <x v="3"/>
    <n v="7"/>
    <n v="74"/>
    <n v="518"/>
    <x v="3"/>
    <x v="0"/>
    <n v="518"/>
  </r>
  <r>
    <d v="2024-05-30T00:00:00"/>
    <n v="2024"/>
    <n v="5"/>
    <n v="2"/>
    <s v="Camiseta"/>
    <x v="1"/>
    <s v="Daniel"/>
    <x v="1"/>
    <n v="6"/>
    <n v="90"/>
    <n v="540"/>
    <x v="1"/>
    <x v="1"/>
    <n v="540"/>
  </r>
  <r>
    <d v="2024-05-06T00:00:00"/>
    <n v="2024"/>
    <n v="5"/>
    <n v="2"/>
    <s v="Boné"/>
    <x v="1"/>
    <s v="Bruno"/>
    <x v="2"/>
    <n v="9"/>
    <n v="112"/>
    <n v="1008"/>
    <x v="2"/>
    <x v="1"/>
    <n v="1008"/>
  </r>
  <r>
    <d v="2024-06-03T00:00:00"/>
    <n v="2024"/>
    <n v="6"/>
    <n v="2"/>
    <s v="Meia"/>
    <x v="1"/>
    <s v="Elisa"/>
    <x v="2"/>
    <n v="1"/>
    <n v="152"/>
    <n v="152"/>
    <x v="2"/>
    <x v="1"/>
    <n v="152"/>
  </r>
  <r>
    <d v="2024-09-29T00:00:00"/>
    <n v="2024"/>
    <n v="9"/>
    <n v="3"/>
    <s v="Boné"/>
    <x v="1"/>
    <s v="Bruno"/>
    <x v="3"/>
    <n v="8"/>
    <n v="131"/>
    <n v="1048"/>
    <x v="3"/>
    <x v="1"/>
    <n v="1048"/>
  </r>
  <r>
    <d v="2024-04-13T00:00:00"/>
    <n v="2024"/>
    <n v="4"/>
    <n v="2"/>
    <s v="Cinto"/>
    <x v="1"/>
    <s v="Daniel"/>
    <x v="3"/>
    <n v="3"/>
    <n v="45"/>
    <n v="135"/>
    <x v="3"/>
    <x v="1"/>
    <n v="135"/>
  </r>
  <r>
    <d v="2024-10-25T00:00:00"/>
    <n v="2024"/>
    <n v="10"/>
    <n v="4"/>
    <s v="Tênis"/>
    <x v="1"/>
    <s v="Bruno"/>
    <x v="2"/>
    <n v="4"/>
    <n v="95"/>
    <n v="380"/>
    <x v="2"/>
    <x v="1"/>
    <n v="380"/>
  </r>
  <r>
    <d v="2024-09-02T00:00:00"/>
    <n v="2024"/>
    <n v="9"/>
    <n v="3"/>
    <s v="Meia"/>
    <x v="1"/>
    <s v="Bruno"/>
    <x v="0"/>
    <n v="15"/>
    <n v="197"/>
    <n v="2955"/>
    <x v="0"/>
    <x v="1"/>
    <n v="2955"/>
  </r>
  <r>
    <d v="2024-06-24T00:00:00"/>
    <n v="2024"/>
    <n v="6"/>
    <n v="2"/>
    <s v="Calça Jeans"/>
    <x v="2"/>
    <s v="Daniel"/>
    <x v="2"/>
    <n v="6"/>
    <n v="174"/>
    <n v="1044"/>
    <x v="2"/>
    <x v="2"/>
    <n v="1044"/>
  </r>
  <r>
    <d v="2024-02-08T00:00:00"/>
    <n v="2024"/>
    <n v="2"/>
    <n v="1"/>
    <s v="Boné"/>
    <x v="0"/>
    <s v="Bruno"/>
    <x v="2"/>
    <n v="15"/>
    <n v="148"/>
    <n v="2220"/>
    <x v="2"/>
    <x v="0"/>
    <n v="2220"/>
  </r>
  <r>
    <d v="2024-06-18T00:00:00"/>
    <n v="2024"/>
    <n v="6"/>
    <n v="2"/>
    <s v="Bermuda"/>
    <x v="1"/>
    <s v="Carla"/>
    <x v="3"/>
    <n v="3"/>
    <n v="191"/>
    <n v="573"/>
    <x v="3"/>
    <x v="1"/>
    <n v="573"/>
  </r>
  <r>
    <d v="2024-09-03T00:00:00"/>
    <n v="2024"/>
    <n v="9"/>
    <n v="3"/>
    <s v="Calça Jeans"/>
    <x v="2"/>
    <s v="Carla"/>
    <x v="3"/>
    <n v="14"/>
    <n v="153"/>
    <n v="2142"/>
    <x v="3"/>
    <x v="2"/>
    <n v="2142"/>
  </r>
  <r>
    <d v="2024-01-26T00:00:00"/>
    <n v="2024"/>
    <n v="1"/>
    <n v="1"/>
    <s v="Regata"/>
    <x v="2"/>
    <s v="Bruno"/>
    <x v="2"/>
    <n v="14"/>
    <n v="173"/>
    <n v="2422"/>
    <x v="2"/>
    <x v="2"/>
    <n v="2422"/>
  </r>
  <r>
    <d v="2024-12-20T00:00:00"/>
    <n v="2024"/>
    <n v="12"/>
    <n v="4"/>
    <s v="Regata"/>
    <x v="2"/>
    <s v="Elisa"/>
    <x v="2"/>
    <n v="4"/>
    <n v="131"/>
    <n v="524"/>
    <x v="2"/>
    <x v="2"/>
    <n v="524"/>
  </r>
  <r>
    <d v="2024-11-01T00:00:00"/>
    <n v="2024"/>
    <n v="11"/>
    <n v="4"/>
    <s v="Camiseta"/>
    <x v="0"/>
    <s v="Daniel"/>
    <x v="2"/>
    <n v="12"/>
    <n v="95"/>
    <n v="1140"/>
    <x v="2"/>
    <x v="0"/>
    <n v="1140"/>
  </r>
  <r>
    <d v="2024-01-13T00:00:00"/>
    <n v="2024"/>
    <n v="1"/>
    <n v="1"/>
    <s v="Tênis"/>
    <x v="1"/>
    <s v="Carla"/>
    <x v="3"/>
    <n v="17"/>
    <n v="42"/>
    <n v="714"/>
    <x v="3"/>
    <x v="1"/>
    <n v="714"/>
  </r>
  <r>
    <d v="2024-11-11T00:00:00"/>
    <n v="2024"/>
    <n v="11"/>
    <n v="4"/>
    <s v="Cinto"/>
    <x v="2"/>
    <s v="Elisa"/>
    <x v="2"/>
    <n v="7"/>
    <n v="140"/>
    <n v="980"/>
    <x v="2"/>
    <x v="2"/>
    <n v="980"/>
  </r>
  <r>
    <d v="2024-11-08T00:00:00"/>
    <n v="2024"/>
    <n v="11"/>
    <n v="4"/>
    <s v="Meia"/>
    <x v="0"/>
    <s v="Bruno"/>
    <x v="2"/>
    <n v="9"/>
    <n v="188"/>
    <n v="1692"/>
    <x v="2"/>
    <x v="0"/>
    <n v="1692"/>
  </r>
  <r>
    <d v="2024-02-05T00:00:00"/>
    <n v="2024"/>
    <n v="2"/>
    <n v="1"/>
    <s v="Moletom"/>
    <x v="0"/>
    <s v="Elisa"/>
    <x v="4"/>
    <n v="3"/>
    <n v="63"/>
    <n v="189"/>
    <x v="4"/>
    <x v="0"/>
    <n v="189"/>
  </r>
  <r>
    <d v="2024-06-21T00:00:00"/>
    <n v="2024"/>
    <n v="6"/>
    <n v="2"/>
    <s v="Bermuda"/>
    <x v="0"/>
    <s v="Ana"/>
    <x v="0"/>
    <n v="13"/>
    <n v="68"/>
    <n v="884"/>
    <x v="0"/>
    <x v="0"/>
    <n v="884"/>
  </r>
  <r>
    <d v="2024-01-20T00:00:00"/>
    <n v="2024"/>
    <n v="1"/>
    <n v="1"/>
    <s v="Boné"/>
    <x v="2"/>
    <s v="Carla"/>
    <x v="1"/>
    <n v="15"/>
    <n v="165"/>
    <n v="2475"/>
    <x v="1"/>
    <x v="2"/>
    <n v="2475"/>
  </r>
  <r>
    <d v="2024-11-16T00:00:00"/>
    <n v="2024"/>
    <n v="11"/>
    <n v="4"/>
    <s v="Cinto"/>
    <x v="1"/>
    <s v="Bruno"/>
    <x v="0"/>
    <n v="18"/>
    <n v="149"/>
    <n v="2682"/>
    <x v="0"/>
    <x v="1"/>
    <n v="2682"/>
  </r>
  <r>
    <d v="2024-09-20T00:00:00"/>
    <n v="2024"/>
    <n v="9"/>
    <n v="3"/>
    <s v="Calça Jeans"/>
    <x v="2"/>
    <s v="Daniel"/>
    <x v="4"/>
    <n v="19"/>
    <n v="155"/>
    <n v="2945"/>
    <x v="4"/>
    <x v="2"/>
    <n v="2945"/>
  </r>
  <r>
    <d v="2024-05-21T00:00:00"/>
    <n v="2024"/>
    <n v="5"/>
    <n v="2"/>
    <s v="Regata"/>
    <x v="2"/>
    <s v="Bruno"/>
    <x v="1"/>
    <n v="1"/>
    <n v="84"/>
    <n v="84"/>
    <x v="1"/>
    <x v="2"/>
    <n v="84"/>
  </r>
  <r>
    <d v="2024-05-22T00:00:00"/>
    <n v="2024"/>
    <n v="5"/>
    <n v="2"/>
    <s v="Bermuda"/>
    <x v="1"/>
    <s v="Daniel"/>
    <x v="2"/>
    <n v="6"/>
    <n v="56"/>
    <n v="336"/>
    <x v="2"/>
    <x v="1"/>
    <n v="336"/>
  </r>
  <r>
    <d v="2024-04-01T00:00:00"/>
    <n v="2024"/>
    <n v="4"/>
    <n v="2"/>
    <s v="Moletom"/>
    <x v="1"/>
    <s v="Bruno"/>
    <x v="4"/>
    <n v="2"/>
    <n v="147"/>
    <n v="294"/>
    <x v="4"/>
    <x v="1"/>
    <n v="294"/>
  </r>
  <r>
    <d v="2024-12-19T00:00:00"/>
    <n v="2024"/>
    <n v="12"/>
    <n v="4"/>
    <s v="Meia"/>
    <x v="1"/>
    <s v="Elisa"/>
    <x v="2"/>
    <n v="14"/>
    <n v="82"/>
    <n v="1148"/>
    <x v="2"/>
    <x v="1"/>
    <n v="1148"/>
  </r>
  <r>
    <d v="2024-11-17T00:00:00"/>
    <n v="2024"/>
    <n v="11"/>
    <n v="4"/>
    <s v="Camiseta"/>
    <x v="0"/>
    <s v="Elisa"/>
    <x v="3"/>
    <n v="6"/>
    <n v="68"/>
    <n v="408"/>
    <x v="3"/>
    <x v="0"/>
    <n v="408"/>
  </r>
  <r>
    <d v="2024-10-14T00:00:00"/>
    <n v="2024"/>
    <n v="10"/>
    <n v="4"/>
    <s v="Moletom"/>
    <x v="1"/>
    <s v="Elisa"/>
    <x v="4"/>
    <n v="14"/>
    <n v="94"/>
    <n v="1316"/>
    <x v="4"/>
    <x v="1"/>
    <n v="1316"/>
  </r>
  <r>
    <d v="2024-08-02T00:00:00"/>
    <n v="2024"/>
    <n v="8"/>
    <n v="3"/>
    <s v="Bermuda"/>
    <x v="2"/>
    <s v="Ana"/>
    <x v="3"/>
    <n v="4"/>
    <n v="174"/>
    <n v="696"/>
    <x v="3"/>
    <x v="2"/>
    <n v="696"/>
  </r>
  <r>
    <d v="2024-12-07T00:00:00"/>
    <n v="2024"/>
    <n v="12"/>
    <n v="4"/>
    <s v="Moletom"/>
    <x v="1"/>
    <s v="Daniel"/>
    <x v="4"/>
    <n v="8"/>
    <n v="187"/>
    <n v="1496"/>
    <x v="4"/>
    <x v="1"/>
    <n v="1496"/>
  </r>
  <r>
    <d v="2024-02-20T00:00:00"/>
    <n v="2024"/>
    <n v="2"/>
    <n v="1"/>
    <s v="Bermuda"/>
    <x v="2"/>
    <s v="Elisa"/>
    <x v="4"/>
    <n v="3"/>
    <n v="42"/>
    <n v="126"/>
    <x v="4"/>
    <x v="2"/>
    <n v="126"/>
  </r>
  <r>
    <d v="2024-06-01T00:00:00"/>
    <n v="2024"/>
    <n v="6"/>
    <n v="2"/>
    <s v="Bermuda"/>
    <x v="0"/>
    <s v="Ana"/>
    <x v="3"/>
    <n v="19"/>
    <n v="50"/>
    <n v="950"/>
    <x v="3"/>
    <x v="0"/>
    <n v="950"/>
  </r>
  <r>
    <d v="2024-07-04T00:00:00"/>
    <n v="2024"/>
    <n v="7"/>
    <n v="3"/>
    <s v="Jaqueta"/>
    <x v="2"/>
    <s v="Daniel"/>
    <x v="1"/>
    <n v="14"/>
    <n v="176"/>
    <n v="2464"/>
    <x v="1"/>
    <x v="2"/>
    <n v="2464"/>
  </r>
  <r>
    <d v="2024-03-03T00:00:00"/>
    <n v="2024"/>
    <n v="3"/>
    <n v="1"/>
    <s v="Boné"/>
    <x v="2"/>
    <s v="Bruno"/>
    <x v="0"/>
    <n v="17"/>
    <n v="82"/>
    <n v="1394"/>
    <x v="0"/>
    <x v="2"/>
    <n v="1394"/>
  </r>
  <r>
    <d v="2024-07-08T00:00:00"/>
    <n v="2024"/>
    <n v="7"/>
    <n v="3"/>
    <s v="Regata"/>
    <x v="1"/>
    <s v="Ana"/>
    <x v="2"/>
    <n v="8"/>
    <n v="48"/>
    <n v="384"/>
    <x v="2"/>
    <x v="1"/>
    <n v="384"/>
  </r>
  <r>
    <d v="2024-05-04T00:00:00"/>
    <n v="2024"/>
    <n v="5"/>
    <n v="2"/>
    <s v="Jaqueta"/>
    <x v="1"/>
    <s v="Carla"/>
    <x v="4"/>
    <n v="14"/>
    <n v="86"/>
    <n v="1204"/>
    <x v="4"/>
    <x v="1"/>
    <n v="1204"/>
  </r>
  <r>
    <d v="2024-05-29T00:00:00"/>
    <n v="2024"/>
    <n v="5"/>
    <n v="2"/>
    <s v="Meia"/>
    <x v="2"/>
    <s v="Ana"/>
    <x v="2"/>
    <n v="6"/>
    <n v="54"/>
    <n v="324"/>
    <x v="2"/>
    <x v="2"/>
    <n v="324"/>
  </r>
  <r>
    <d v="2024-11-09T00:00:00"/>
    <n v="2024"/>
    <n v="11"/>
    <n v="4"/>
    <s v="Jaqueta"/>
    <x v="1"/>
    <s v="Ana"/>
    <x v="3"/>
    <n v="16"/>
    <n v="60"/>
    <n v="960"/>
    <x v="3"/>
    <x v="1"/>
    <n v="960"/>
  </r>
  <r>
    <d v="2024-02-27T00:00:00"/>
    <n v="2024"/>
    <n v="2"/>
    <n v="1"/>
    <s v="Tênis"/>
    <x v="0"/>
    <s v="Daniel"/>
    <x v="2"/>
    <n v="19"/>
    <n v="110"/>
    <n v="2090"/>
    <x v="2"/>
    <x v="0"/>
    <n v="2090"/>
  </r>
  <r>
    <d v="2024-12-07T00:00:00"/>
    <n v="2024"/>
    <n v="12"/>
    <n v="4"/>
    <s v="Tênis"/>
    <x v="0"/>
    <s v="Bruno"/>
    <x v="3"/>
    <n v="14"/>
    <n v="52"/>
    <n v="728"/>
    <x v="3"/>
    <x v="0"/>
    <n v="728"/>
  </r>
  <r>
    <d v="2024-10-31T00:00:00"/>
    <n v="2024"/>
    <n v="10"/>
    <n v="4"/>
    <s v="Regata"/>
    <x v="1"/>
    <s v="Carla"/>
    <x v="2"/>
    <n v="19"/>
    <n v="61"/>
    <n v="1159"/>
    <x v="2"/>
    <x v="1"/>
    <n v="1159"/>
  </r>
  <r>
    <d v="2024-06-28T00:00:00"/>
    <n v="2024"/>
    <n v="6"/>
    <n v="2"/>
    <s v="Moletom"/>
    <x v="0"/>
    <s v="Elisa"/>
    <x v="0"/>
    <n v="3"/>
    <n v="103"/>
    <n v="309"/>
    <x v="0"/>
    <x v="0"/>
    <n v="309"/>
  </r>
  <r>
    <d v="2024-06-18T00:00:00"/>
    <n v="2024"/>
    <n v="6"/>
    <n v="2"/>
    <s v="Boné"/>
    <x v="1"/>
    <s v="Elisa"/>
    <x v="0"/>
    <n v="10"/>
    <n v="39"/>
    <n v="390"/>
    <x v="0"/>
    <x v="1"/>
    <n v="390"/>
  </r>
  <r>
    <d v="2024-11-21T00:00:00"/>
    <n v="2024"/>
    <n v="11"/>
    <n v="4"/>
    <s v="Regata"/>
    <x v="2"/>
    <s v="Ana"/>
    <x v="0"/>
    <n v="19"/>
    <n v="83"/>
    <n v="1577"/>
    <x v="0"/>
    <x v="2"/>
    <n v="1577"/>
  </r>
  <r>
    <d v="2024-09-27T00:00:00"/>
    <n v="2024"/>
    <n v="9"/>
    <n v="3"/>
    <s v="Bermuda"/>
    <x v="2"/>
    <s v="Daniel"/>
    <x v="0"/>
    <n v="9"/>
    <n v="81"/>
    <n v="729"/>
    <x v="0"/>
    <x v="2"/>
    <n v="729"/>
  </r>
  <r>
    <d v="2024-02-23T00:00:00"/>
    <n v="2024"/>
    <n v="2"/>
    <n v="1"/>
    <s v="Calça Jeans"/>
    <x v="0"/>
    <s v="Daniel"/>
    <x v="0"/>
    <n v="13"/>
    <n v="177"/>
    <n v="2301"/>
    <x v="0"/>
    <x v="0"/>
    <n v="2301"/>
  </r>
  <r>
    <d v="2024-04-10T00:00:00"/>
    <n v="2024"/>
    <n v="4"/>
    <n v="2"/>
    <s v="Boné"/>
    <x v="1"/>
    <s v="Elisa"/>
    <x v="0"/>
    <n v="7"/>
    <n v="189"/>
    <n v="1323"/>
    <x v="0"/>
    <x v="1"/>
    <n v="1323"/>
  </r>
  <r>
    <d v="2024-09-20T00:00:00"/>
    <n v="2024"/>
    <n v="9"/>
    <n v="3"/>
    <s v="Boné"/>
    <x v="1"/>
    <s v="Carla"/>
    <x v="3"/>
    <n v="14"/>
    <n v="143"/>
    <n v="2002"/>
    <x v="3"/>
    <x v="1"/>
    <n v="2002"/>
  </r>
  <r>
    <d v="2024-02-22T00:00:00"/>
    <n v="2024"/>
    <n v="2"/>
    <n v="1"/>
    <s v="Bermuda"/>
    <x v="0"/>
    <s v="Bruno"/>
    <x v="4"/>
    <n v="9"/>
    <n v="43"/>
    <n v="387"/>
    <x v="4"/>
    <x v="0"/>
    <n v="387"/>
  </r>
  <r>
    <d v="2024-02-29T00:00:00"/>
    <n v="2024"/>
    <n v="2"/>
    <n v="1"/>
    <s v="Bermuda"/>
    <x v="2"/>
    <s v="Carla"/>
    <x v="2"/>
    <n v="19"/>
    <n v="185"/>
    <n v="3515"/>
    <x v="2"/>
    <x v="2"/>
    <n v="3515"/>
  </r>
  <r>
    <d v="2024-04-17T00:00:00"/>
    <n v="2024"/>
    <n v="4"/>
    <n v="2"/>
    <s v="Camiseta"/>
    <x v="0"/>
    <s v="Bruno"/>
    <x v="0"/>
    <n v="15"/>
    <n v="139"/>
    <n v="2085"/>
    <x v="0"/>
    <x v="0"/>
    <n v="2085"/>
  </r>
  <r>
    <d v="2024-01-05T00:00:00"/>
    <n v="2024"/>
    <n v="1"/>
    <n v="1"/>
    <s v="Regata"/>
    <x v="2"/>
    <s v="Elisa"/>
    <x v="3"/>
    <n v="14"/>
    <n v="82"/>
    <n v="1148"/>
    <x v="3"/>
    <x v="2"/>
    <n v="1148"/>
  </r>
  <r>
    <d v="2024-04-12T00:00:00"/>
    <n v="2024"/>
    <n v="4"/>
    <n v="2"/>
    <s v="Bermuda"/>
    <x v="1"/>
    <s v="Bruno"/>
    <x v="3"/>
    <n v="6"/>
    <n v="181"/>
    <n v="1086"/>
    <x v="3"/>
    <x v="1"/>
    <n v="1086"/>
  </r>
  <r>
    <d v="2024-07-14T00:00:00"/>
    <n v="2024"/>
    <n v="7"/>
    <n v="3"/>
    <s v="Tênis"/>
    <x v="2"/>
    <s v="Daniel"/>
    <x v="3"/>
    <n v="4"/>
    <n v="108"/>
    <n v="432"/>
    <x v="3"/>
    <x v="2"/>
    <n v="432"/>
  </r>
  <r>
    <d v="2024-09-18T00:00:00"/>
    <n v="2024"/>
    <n v="9"/>
    <n v="3"/>
    <s v="Meia"/>
    <x v="0"/>
    <s v="Ana"/>
    <x v="4"/>
    <n v="8"/>
    <n v="51"/>
    <n v="408"/>
    <x v="4"/>
    <x v="0"/>
    <n v="408"/>
  </r>
  <r>
    <d v="2024-12-30T00:00:00"/>
    <n v="2024"/>
    <n v="12"/>
    <n v="4"/>
    <s v="Calça Jeans"/>
    <x v="1"/>
    <s v="Ana"/>
    <x v="2"/>
    <n v="17"/>
    <n v="59"/>
    <n v="1003"/>
    <x v="2"/>
    <x v="1"/>
    <n v="1003"/>
  </r>
  <r>
    <d v="2024-12-15T00:00:00"/>
    <n v="2024"/>
    <n v="12"/>
    <n v="4"/>
    <s v="Regata"/>
    <x v="0"/>
    <s v="Elisa"/>
    <x v="4"/>
    <n v="9"/>
    <n v="33"/>
    <n v="297"/>
    <x v="4"/>
    <x v="0"/>
    <n v="297"/>
  </r>
  <r>
    <d v="2024-02-16T00:00:00"/>
    <n v="2024"/>
    <n v="2"/>
    <n v="1"/>
    <s v="Cinto"/>
    <x v="0"/>
    <s v="Daniel"/>
    <x v="1"/>
    <n v="1"/>
    <n v="88"/>
    <n v="88"/>
    <x v="1"/>
    <x v="0"/>
    <n v="88"/>
  </r>
  <r>
    <d v="2024-12-20T00:00:00"/>
    <n v="2024"/>
    <n v="12"/>
    <n v="4"/>
    <s v="Tênis"/>
    <x v="2"/>
    <s v="Carla"/>
    <x v="3"/>
    <n v="14"/>
    <n v="37"/>
    <n v="518"/>
    <x v="3"/>
    <x v="2"/>
    <n v="518"/>
  </r>
  <r>
    <d v="2024-11-06T00:00:00"/>
    <n v="2024"/>
    <n v="11"/>
    <n v="4"/>
    <s v="Moletom"/>
    <x v="0"/>
    <s v="Daniel"/>
    <x v="1"/>
    <n v="11"/>
    <n v="41"/>
    <n v="451"/>
    <x v="1"/>
    <x v="0"/>
    <n v="451"/>
  </r>
  <r>
    <d v="2024-11-03T00:00:00"/>
    <n v="2024"/>
    <n v="11"/>
    <n v="4"/>
    <s v="Bermuda"/>
    <x v="2"/>
    <s v="Ana"/>
    <x v="0"/>
    <n v="3"/>
    <n v="148"/>
    <n v="444"/>
    <x v="0"/>
    <x v="2"/>
    <n v="444"/>
  </r>
  <r>
    <d v="2024-05-23T00:00:00"/>
    <n v="2024"/>
    <n v="5"/>
    <n v="2"/>
    <s v="Cinto"/>
    <x v="1"/>
    <s v="Ana"/>
    <x v="0"/>
    <n v="9"/>
    <n v="188"/>
    <n v="1692"/>
    <x v="0"/>
    <x v="1"/>
    <n v="1692"/>
  </r>
  <r>
    <d v="2024-09-25T00:00:00"/>
    <n v="2024"/>
    <n v="9"/>
    <n v="3"/>
    <s v="Bermuda"/>
    <x v="2"/>
    <s v="Daniel"/>
    <x v="4"/>
    <n v="14"/>
    <n v="63"/>
    <n v="882"/>
    <x v="4"/>
    <x v="2"/>
    <n v="882"/>
  </r>
  <r>
    <d v="2024-05-03T00:00:00"/>
    <n v="2024"/>
    <n v="5"/>
    <n v="2"/>
    <s v="Boné"/>
    <x v="1"/>
    <s v="Daniel"/>
    <x v="2"/>
    <n v="9"/>
    <n v="111"/>
    <n v="999"/>
    <x v="2"/>
    <x v="1"/>
    <n v="999"/>
  </r>
  <r>
    <d v="2024-04-15T00:00:00"/>
    <n v="2024"/>
    <n v="4"/>
    <n v="2"/>
    <s v="Tênis"/>
    <x v="2"/>
    <s v="Ana"/>
    <x v="1"/>
    <n v="4"/>
    <n v="127"/>
    <n v="508"/>
    <x v="1"/>
    <x v="2"/>
    <n v="508"/>
  </r>
  <r>
    <d v="2024-06-06T00:00:00"/>
    <n v="2024"/>
    <n v="6"/>
    <n v="2"/>
    <s v="Boné"/>
    <x v="0"/>
    <s v="Carla"/>
    <x v="2"/>
    <n v="4"/>
    <n v="156"/>
    <n v="624"/>
    <x v="2"/>
    <x v="0"/>
    <n v="624"/>
  </r>
  <r>
    <d v="2024-05-26T00:00:00"/>
    <n v="2024"/>
    <n v="5"/>
    <n v="2"/>
    <s v="Camiseta"/>
    <x v="2"/>
    <s v="Elisa"/>
    <x v="4"/>
    <n v="8"/>
    <n v="104"/>
    <n v="832"/>
    <x v="4"/>
    <x v="2"/>
    <n v="832"/>
  </r>
  <r>
    <d v="2024-05-24T00:00:00"/>
    <n v="2024"/>
    <n v="5"/>
    <n v="2"/>
    <s v="Boné"/>
    <x v="2"/>
    <s v="Elisa"/>
    <x v="0"/>
    <n v="2"/>
    <n v="134"/>
    <n v="268"/>
    <x v="0"/>
    <x v="2"/>
    <n v="268"/>
  </r>
  <r>
    <d v="2024-04-29T00:00:00"/>
    <n v="2024"/>
    <n v="4"/>
    <n v="2"/>
    <s v="Camiseta"/>
    <x v="1"/>
    <s v="Daniel"/>
    <x v="2"/>
    <n v="9"/>
    <n v="78"/>
    <n v="702"/>
    <x v="2"/>
    <x v="1"/>
    <n v="702"/>
  </r>
  <r>
    <d v="2024-11-14T00:00:00"/>
    <n v="2024"/>
    <n v="11"/>
    <n v="4"/>
    <s v="Camiseta"/>
    <x v="0"/>
    <s v="Elisa"/>
    <x v="2"/>
    <n v="14"/>
    <n v="108"/>
    <n v="1512"/>
    <x v="2"/>
    <x v="0"/>
    <n v="1512"/>
  </r>
  <r>
    <d v="2024-10-01T00:00:00"/>
    <n v="2024"/>
    <n v="10"/>
    <n v="4"/>
    <s v="Cinto"/>
    <x v="2"/>
    <s v="Ana"/>
    <x v="0"/>
    <n v="9"/>
    <n v="122"/>
    <n v="1098"/>
    <x v="0"/>
    <x v="2"/>
    <n v="1098"/>
  </r>
  <r>
    <d v="2024-04-01T00:00:00"/>
    <n v="2024"/>
    <n v="4"/>
    <n v="2"/>
    <s v="Bermuda"/>
    <x v="0"/>
    <s v="Ana"/>
    <x v="1"/>
    <n v="16"/>
    <n v="183"/>
    <n v="2928"/>
    <x v="1"/>
    <x v="0"/>
    <n v="2928"/>
  </r>
  <r>
    <d v="2024-02-27T00:00:00"/>
    <n v="2024"/>
    <n v="2"/>
    <n v="1"/>
    <s v="Moletom"/>
    <x v="2"/>
    <s v="Daniel"/>
    <x v="0"/>
    <n v="17"/>
    <n v="47"/>
    <n v="799"/>
    <x v="0"/>
    <x v="2"/>
    <n v="799"/>
  </r>
  <r>
    <d v="2024-12-11T00:00:00"/>
    <n v="2024"/>
    <n v="12"/>
    <n v="4"/>
    <s v="Boné"/>
    <x v="2"/>
    <s v="Daniel"/>
    <x v="2"/>
    <n v="16"/>
    <n v="125"/>
    <n v="2000"/>
    <x v="2"/>
    <x v="2"/>
    <n v="2000"/>
  </r>
  <r>
    <d v="2024-08-16T00:00:00"/>
    <n v="2024"/>
    <n v="8"/>
    <n v="3"/>
    <s v="Tênis"/>
    <x v="0"/>
    <s v="Daniel"/>
    <x v="1"/>
    <n v="12"/>
    <n v="67"/>
    <n v="804"/>
    <x v="1"/>
    <x v="0"/>
    <n v="804"/>
  </r>
  <r>
    <d v="2024-04-26T00:00:00"/>
    <n v="2024"/>
    <n v="4"/>
    <n v="2"/>
    <s v="Camiseta"/>
    <x v="2"/>
    <s v="Carla"/>
    <x v="1"/>
    <n v="3"/>
    <n v="116"/>
    <n v="348"/>
    <x v="1"/>
    <x v="2"/>
    <n v="348"/>
  </r>
  <r>
    <d v="2024-11-13T00:00:00"/>
    <n v="2024"/>
    <n v="11"/>
    <n v="4"/>
    <s v="Bermuda"/>
    <x v="0"/>
    <s v="Elisa"/>
    <x v="0"/>
    <n v="11"/>
    <n v="117"/>
    <n v="1287"/>
    <x v="0"/>
    <x v="0"/>
    <n v="1287"/>
  </r>
  <r>
    <d v="2024-10-05T00:00:00"/>
    <n v="2024"/>
    <n v="10"/>
    <n v="4"/>
    <s v="Calça Jeans"/>
    <x v="2"/>
    <s v="Daniel"/>
    <x v="2"/>
    <n v="14"/>
    <n v="79"/>
    <n v="1106"/>
    <x v="2"/>
    <x v="2"/>
    <n v="1106"/>
  </r>
  <r>
    <d v="2024-05-06T00:00:00"/>
    <n v="2024"/>
    <n v="5"/>
    <n v="2"/>
    <s v="Regata"/>
    <x v="1"/>
    <s v="Bruno"/>
    <x v="4"/>
    <n v="18"/>
    <n v="37"/>
    <n v="666"/>
    <x v="4"/>
    <x v="1"/>
    <n v="666"/>
  </r>
  <r>
    <d v="2024-05-08T00:00:00"/>
    <n v="2024"/>
    <n v="5"/>
    <n v="2"/>
    <s v="Cinto"/>
    <x v="0"/>
    <s v="Bruno"/>
    <x v="2"/>
    <n v="5"/>
    <n v="198"/>
    <n v="990"/>
    <x v="2"/>
    <x v="0"/>
    <n v="990"/>
  </r>
  <r>
    <d v="2024-02-27T00:00:00"/>
    <n v="2024"/>
    <n v="2"/>
    <n v="1"/>
    <s v="Moletom"/>
    <x v="2"/>
    <s v="Ana"/>
    <x v="3"/>
    <n v="16"/>
    <n v="163"/>
    <n v="2608"/>
    <x v="3"/>
    <x v="2"/>
    <n v="2608"/>
  </r>
  <r>
    <d v="2024-05-01T00:00:00"/>
    <n v="2024"/>
    <n v="5"/>
    <n v="2"/>
    <s v="Jaqueta"/>
    <x v="2"/>
    <s v="Elisa"/>
    <x v="4"/>
    <n v="5"/>
    <n v="98"/>
    <n v="490"/>
    <x v="4"/>
    <x v="2"/>
    <n v="490"/>
  </r>
  <r>
    <d v="2024-01-01T00:00:00"/>
    <n v="2024"/>
    <n v="1"/>
    <n v="1"/>
    <s v="Cinto"/>
    <x v="1"/>
    <s v="Daniel"/>
    <x v="1"/>
    <n v="3"/>
    <n v="150"/>
    <n v="450"/>
    <x v="1"/>
    <x v="1"/>
    <n v="450"/>
  </r>
  <r>
    <d v="2024-08-26T00:00:00"/>
    <n v="2024"/>
    <n v="8"/>
    <n v="3"/>
    <s v="Calça Jeans"/>
    <x v="0"/>
    <s v="Bruno"/>
    <x v="4"/>
    <n v="12"/>
    <n v="93"/>
    <n v="1116"/>
    <x v="4"/>
    <x v="0"/>
    <n v="1116"/>
  </r>
  <r>
    <d v="2024-10-16T00:00:00"/>
    <n v="2024"/>
    <n v="10"/>
    <n v="4"/>
    <s v="Regata"/>
    <x v="2"/>
    <s v="Elisa"/>
    <x v="1"/>
    <n v="1"/>
    <n v="186"/>
    <n v="186"/>
    <x v="1"/>
    <x v="2"/>
    <n v="186"/>
  </r>
  <r>
    <d v="2024-04-05T00:00:00"/>
    <n v="2024"/>
    <n v="4"/>
    <n v="2"/>
    <s v="Calça Jeans"/>
    <x v="1"/>
    <s v="Ana"/>
    <x v="1"/>
    <n v="9"/>
    <n v="185"/>
    <n v="1665"/>
    <x v="1"/>
    <x v="1"/>
    <n v="1665"/>
  </r>
  <r>
    <d v="2024-05-05T00:00:00"/>
    <n v="2024"/>
    <n v="5"/>
    <n v="2"/>
    <s v="Boné"/>
    <x v="2"/>
    <s v="Carla"/>
    <x v="4"/>
    <n v="9"/>
    <n v="168"/>
    <n v="1512"/>
    <x v="4"/>
    <x v="2"/>
    <n v="1512"/>
  </r>
  <r>
    <d v="2024-04-27T00:00:00"/>
    <n v="2024"/>
    <n v="4"/>
    <n v="2"/>
    <s v="Camiseta"/>
    <x v="0"/>
    <s v="Elisa"/>
    <x v="1"/>
    <n v="4"/>
    <n v="150"/>
    <n v="600"/>
    <x v="1"/>
    <x v="0"/>
    <n v="600"/>
  </r>
  <r>
    <d v="2024-02-17T00:00:00"/>
    <n v="2024"/>
    <n v="2"/>
    <n v="1"/>
    <s v="Moletom"/>
    <x v="2"/>
    <s v="Elisa"/>
    <x v="1"/>
    <n v="3"/>
    <n v="94"/>
    <n v="282"/>
    <x v="1"/>
    <x v="2"/>
    <n v="282"/>
  </r>
  <r>
    <d v="2024-03-29T00:00:00"/>
    <n v="2024"/>
    <n v="3"/>
    <n v="1"/>
    <s v="Meia"/>
    <x v="2"/>
    <s v="Carla"/>
    <x v="3"/>
    <n v="17"/>
    <n v="136"/>
    <n v="2312"/>
    <x v="3"/>
    <x v="2"/>
    <n v="2312"/>
  </r>
  <r>
    <d v="2024-08-24T00:00:00"/>
    <n v="2024"/>
    <n v="8"/>
    <n v="3"/>
    <s v="Camiseta"/>
    <x v="2"/>
    <s v="Elisa"/>
    <x v="2"/>
    <n v="2"/>
    <n v="176"/>
    <n v="352"/>
    <x v="2"/>
    <x v="2"/>
    <n v="352"/>
  </r>
  <r>
    <d v="2024-09-28T00:00:00"/>
    <n v="2024"/>
    <n v="9"/>
    <n v="3"/>
    <s v="Meia"/>
    <x v="2"/>
    <s v="Ana"/>
    <x v="2"/>
    <n v="1"/>
    <n v="166"/>
    <n v="166"/>
    <x v="2"/>
    <x v="2"/>
    <n v="166"/>
  </r>
  <r>
    <d v="2024-07-07T00:00:00"/>
    <n v="2024"/>
    <n v="7"/>
    <n v="3"/>
    <s v="Regata"/>
    <x v="1"/>
    <s v="Ana"/>
    <x v="3"/>
    <n v="8"/>
    <n v="184"/>
    <n v="1472"/>
    <x v="3"/>
    <x v="1"/>
    <n v="1472"/>
  </r>
  <r>
    <d v="2024-07-10T00:00:00"/>
    <n v="2024"/>
    <n v="7"/>
    <n v="3"/>
    <s v="Bermuda"/>
    <x v="1"/>
    <s v="Carla"/>
    <x v="4"/>
    <n v="13"/>
    <n v="191"/>
    <n v="2483"/>
    <x v="4"/>
    <x v="1"/>
    <n v="2483"/>
  </r>
  <r>
    <d v="2024-03-09T00:00:00"/>
    <n v="2024"/>
    <n v="3"/>
    <n v="1"/>
    <s v="Jaqueta"/>
    <x v="0"/>
    <s v="Daniel"/>
    <x v="0"/>
    <n v="15"/>
    <n v="129"/>
    <n v="1935"/>
    <x v="0"/>
    <x v="0"/>
    <n v="1935"/>
  </r>
  <r>
    <d v="2024-10-04T00:00:00"/>
    <n v="2024"/>
    <n v="10"/>
    <n v="4"/>
    <s v="Tênis"/>
    <x v="1"/>
    <s v="Bruno"/>
    <x v="0"/>
    <n v="8"/>
    <n v="111"/>
    <n v="888"/>
    <x v="0"/>
    <x v="1"/>
    <n v="888"/>
  </r>
  <r>
    <d v="2024-12-14T00:00:00"/>
    <n v="2024"/>
    <n v="12"/>
    <n v="4"/>
    <s v="Camiseta"/>
    <x v="1"/>
    <s v="Daniel"/>
    <x v="0"/>
    <n v="12"/>
    <n v="172"/>
    <n v="2064"/>
    <x v="0"/>
    <x v="1"/>
    <n v="2064"/>
  </r>
  <r>
    <d v="2024-09-03T00:00:00"/>
    <n v="2024"/>
    <n v="9"/>
    <n v="3"/>
    <s v="Moletom"/>
    <x v="0"/>
    <s v="Elisa"/>
    <x v="3"/>
    <n v="12"/>
    <n v="80"/>
    <n v="960"/>
    <x v="3"/>
    <x v="0"/>
    <n v="960"/>
  </r>
  <r>
    <d v="2024-03-16T00:00:00"/>
    <n v="2024"/>
    <n v="3"/>
    <n v="1"/>
    <s v="Calça Jeans"/>
    <x v="1"/>
    <s v="Bruno"/>
    <x v="3"/>
    <n v="14"/>
    <n v="170"/>
    <n v="2380"/>
    <x v="3"/>
    <x v="1"/>
    <n v="2380"/>
  </r>
  <r>
    <d v="2024-06-02T00:00:00"/>
    <n v="2024"/>
    <n v="6"/>
    <n v="2"/>
    <s v="Moletom"/>
    <x v="1"/>
    <s v="Carla"/>
    <x v="1"/>
    <n v="15"/>
    <n v="112"/>
    <n v="1680"/>
    <x v="1"/>
    <x v="1"/>
    <n v="1680"/>
  </r>
  <r>
    <d v="2024-05-23T00:00:00"/>
    <n v="2024"/>
    <n v="5"/>
    <n v="2"/>
    <s v="Regata"/>
    <x v="0"/>
    <s v="Carla"/>
    <x v="0"/>
    <n v="15"/>
    <n v="141"/>
    <n v="2115"/>
    <x v="0"/>
    <x v="0"/>
    <n v="2115"/>
  </r>
  <r>
    <d v="2024-03-26T00:00:00"/>
    <n v="2024"/>
    <n v="3"/>
    <n v="1"/>
    <s v="Meia"/>
    <x v="0"/>
    <s v="Bruno"/>
    <x v="4"/>
    <n v="9"/>
    <n v="85"/>
    <n v="765"/>
    <x v="4"/>
    <x v="0"/>
    <n v="765"/>
  </r>
  <r>
    <d v="2024-07-03T00:00:00"/>
    <n v="2024"/>
    <n v="7"/>
    <n v="3"/>
    <s v="Calça Jeans"/>
    <x v="0"/>
    <s v="Ana"/>
    <x v="4"/>
    <n v="19"/>
    <n v="194"/>
    <n v="3686"/>
    <x v="4"/>
    <x v="0"/>
    <n v="3686"/>
  </r>
  <r>
    <d v="2024-10-11T00:00:00"/>
    <n v="2024"/>
    <n v="10"/>
    <n v="4"/>
    <s v="Tênis"/>
    <x v="2"/>
    <s v="Bruno"/>
    <x v="0"/>
    <n v="8"/>
    <n v="174"/>
    <n v="1392"/>
    <x v="0"/>
    <x v="2"/>
    <n v="1392"/>
  </r>
  <r>
    <d v="2024-08-07T00:00:00"/>
    <n v="2024"/>
    <n v="8"/>
    <n v="3"/>
    <s v="Tênis"/>
    <x v="2"/>
    <s v="Elisa"/>
    <x v="0"/>
    <n v="19"/>
    <n v="186"/>
    <n v="3534"/>
    <x v="0"/>
    <x v="2"/>
    <n v="3534"/>
  </r>
  <r>
    <d v="2024-03-09T00:00:00"/>
    <n v="2024"/>
    <n v="3"/>
    <n v="1"/>
    <s v="Camiseta"/>
    <x v="0"/>
    <s v="Ana"/>
    <x v="0"/>
    <n v="6"/>
    <n v="190"/>
    <n v="1140"/>
    <x v="0"/>
    <x v="0"/>
    <n v="1140"/>
  </r>
  <r>
    <d v="2024-02-16T00:00:00"/>
    <n v="2024"/>
    <n v="2"/>
    <n v="1"/>
    <s v="Regata"/>
    <x v="0"/>
    <s v="Carla"/>
    <x v="3"/>
    <n v="19"/>
    <n v="89"/>
    <n v="1691"/>
    <x v="3"/>
    <x v="0"/>
    <n v="1691"/>
  </r>
  <r>
    <d v="2024-04-03T00:00:00"/>
    <n v="2024"/>
    <n v="4"/>
    <n v="2"/>
    <s v="Bermuda"/>
    <x v="0"/>
    <s v="Bruno"/>
    <x v="3"/>
    <n v="4"/>
    <n v="149"/>
    <n v="596"/>
    <x v="3"/>
    <x v="0"/>
    <n v="596"/>
  </r>
  <r>
    <d v="2024-08-25T00:00:00"/>
    <n v="2024"/>
    <n v="8"/>
    <n v="3"/>
    <s v="Regata"/>
    <x v="2"/>
    <s v="Daniel"/>
    <x v="3"/>
    <n v="7"/>
    <n v="167"/>
    <n v="1169"/>
    <x v="3"/>
    <x v="2"/>
    <n v="1169"/>
  </r>
  <r>
    <d v="2024-07-22T00:00:00"/>
    <n v="2024"/>
    <n v="7"/>
    <n v="3"/>
    <s v="Meia"/>
    <x v="2"/>
    <s v="Daniel"/>
    <x v="2"/>
    <n v="4"/>
    <n v="52"/>
    <n v="208"/>
    <x v="2"/>
    <x v="2"/>
    <n v="208"/>
  </r>
  <r>
    <d v="2024-08-05T00:00:00"/>
    <n v="2024"/>
    <n v="8"/>
    <n v="3"/>
    <s v="Moletom"/>
    <x v="1"/>
    <s v="Elisa"/>
    <x v="4"/>
    <n v="12"/>
    <n v="178"/>
    <n v="2136"/>
    <x v="4"/>
    <x v="1"/>
    <n v="2136"/>
  </r>
  <r>
    <d v="2024-12-06T00:00:00"/>
    <n v="2024"/>
    <n v="12"/>
    <n v="4"/>
    <s v="Tênis"/>
    <x v="1"/>
    <s v="Daniel"/>
    <x v="4"/>
    <n v="13"/>
    <n v="42"/>
    <n v="546"/>
    <x v="4"/>
    <x v="1"/>
    <n v="546"/>
  </r>
  <r>
    <d v="2024-02-08T00:00:00"/>
    <n v="2024"/>
    <n v="2"/>
    <n v="1"/>
    <s v="Moletom"/>
    <x v="0"/>
    <s v="Bruno"/>
    <x v="1"/>
    <n v="3"/>
    <n v="130"/>
    <n v="390"/>
    <x v="1"/>
    <x v="0"/>
    <n v="390"/>
  </r>
  <r>
    <d v="2024-04-09T00:00:00"/>
    <n v="2024"/>
    <n v="4"/>
    <n v="2"/>
    <s v="Moletom"/>
    <x v="2"/>
    <s v="Bruno"/>
    <x v="3"/>
    <n v="12"/>
    <n v="190"/>
    <n v="2280"/>
    <x v="3"/>
    <x v="2"/>
    <n v="2280"/>
  </r>
  <r>
    <d v="2024-10-15T00:00:00"/>
    <n v="2024"/>
    <n v="10"/>
    <n v="4"/>
    <s v="Moletom"/>
    <x v="2"/>
    <s v="Daniel"/>
    <x v="2"/>
    <n v="2"/>
    <n v="53"/>
    <n v="106"/>
    <x v="2"/>
    <x v="2"/>
    <n v="106"/>
  </r>
  <r>
    <d v="2024-09-10T00:00:00"/>
    <n v="2024"/>
    <n v="9"/>
    <n v="3"/>
    <s v="Tênis"/>
    <x v="2"/>
    <s v="Bruno"/>
    <x v="2"/>
    <n v="2"/>
    <n v="137"/>
    <n v="274"/>
    <x v="2"/>
    <x v="2"/>
    <n v="274"/>
  </r>
  <r>
    <d v="2024-08-09T00:00:00"/>
    <n v="2024"/>
    <n v="8"/>
    <n v="3"/>
    <s v="Cinto"/>
    <x v="0"/>
    <s v="Elisa"/>
    <x v="4"/>
    <n v="9"/>
    <n v="40"/>
    <n v="360"/>
    <x v="4"/>
    <x v="0"/>
    <n v="360"/>
  </r>
  <r>
    <d v="2024-12-22T00:00:00"/>
    <n v="2024"/>
    <n v="12"/>
    <n v="4"/>
    <s v="Boné"/>
    <x v="1"/>
    <s v="Ana"/>
    <x v="3"/>
    <n v="1"/>
    <n v="46"/>
    <n v="46"/>
    <x v="3"/>
    <x v="1"/>
    <n v="46"/>
  </r>
  <r>
    <d v="2024-01-23T00:00:00"/>
    <n v="2024"/>
    <n v="1"/>
    <n v="1"/>
    <s v="Meia"/>
    <x v="0"/>
    <s v="Elisa"/>
    <x v="1"/>
    <n v="8"/>
    <n v="54"/>
    <n v="432"/>
    <x v="1"/>
    <x v="0"/>
    <n v="432"/>
  </r>
  <r>
    <d v="2024-09-06T00:00:00"/>
    <n v="2024"/>
    <n v="9"/>
    <n v="3"/>
    <s v="Cinto"/>
    <x v="1"/>
    <s v="Elisa"/>
    <x v="3"/>
    <n v="6"/>
    <n v="123"/>
    <n v="738"/>
    <x v="3"/>
    <x v="1"/>
    <n v="738"/>
  </r>
  <r>
    <d v="2024-01-10T00:00:00"/>
    <n v="2024"/>
    <n v="1"/>
    <n v="1"/>
    <s v="Meia"/>
    <x v="1"/>
    <s v="Bruno"/>
    <x v="0"/>
    <n v="6"/>
    <n v="50"/>
    <n v="300"/>
    <x v="0"/>
    <x v="1"/>
    <n v="300"/>
  </r>
  <r>
    <d v="2024-09-02T00:00:00"/>
    <n v="2024"/>
    <n v="9"/>
    <n v="3"/>
    <s v="Calça Jeans"/>
    <x v="0"/>
    <s v="Ana"/>
    <x v="3"/>
    <n v="18"/>
    <n v="113"/>
    <n v="2034"/>
    <x v="3"/>
    <x v="0"/>
    <n v="2034"/>
  </r>
  <r>
    <d v="2024-11-20T00:00:00"/>
    <n v="2024"/>
    <n v="11"/>
    <n v="4"/>
    <s v="Regata"/>
    <x v="1"/>
    <s v="Bruno"/>
    <x v="0"/>
    <n v="17"/>
    <n v="169"/>
    <n v="2873"/>
    <x v="0"/>
    <x v="1"/>
    <n v="2873"/>
  </r>
  <r>
    <d v="2024-04-09T00:00:00"/>
    <n v="2024"/>
    <n v="4"/>
    <n v="2"/>
    <s v="Regata"/>
    <x v="1"/>
    <s v="Carla"/>
    <x v="0"/>
    <n v="12"/>
    <n v="66"/>
    <n v="792"/>
    <x v="0"/>
    <x v="1"/>
    <n v="792"/>
  </r>
  <r>
    <d v="2024-10-16T00:00:00"/>
    <n v="2024"/>
    <n v="10"/>
    <n v="4"/>
    <s v="Jaqueta"/>
    <x v="2"/>
    <s v="Bruno"/>
    <x v="1"/>
    <n v="6"/>
    <n v="71"/>
    <n v="426"/>
    <x v="1"/>
    <x v="2"/>
    <n v="426"/>
  </r>
  <r>
    <d v="2024-06-28T00:00:00"/>
    <n v="2024"/>
    <n v="6"/>
    <n v="2"/>
    <s v="Regata"/>
    <x v="1"/>
    <s v="Bruno"/>
    <x v="4"/>
    <n v="8"/>
    <n v="174"/>
    <n v="1392"/>
    <x v="4"/>
    <x v="1"/>
    <n v="1392"/>
  </r>
  <r>
    <d v="2024-08-10T00:00:00"/>
    <n v="2024"/>
    <n v="8"/>
    <n v="3"/>
    <s v="Tênis"/>
    <x v="0"/>
    <s v="Bruno"/>
    <x v="3"/>
    <n v="19"/>
    <n v="130"/>
    <n v="2470"/>
    <x v="3"/>
    <x v="0"/>
    <n v="2470"/>
  </r>
  <r>
    <d v="2024-09-06T00:00:00"/>
    <n v="2024"/>
    <n v="9"/>
    <n v="3"/>
    <s v="Bermuda"/>
    <x v="0"/>
    <s v="Ana"/>
    <x v="0"/>
    <n v="10"/>
    <n v="77"/>
    <n v="770"/>
    <x v="0"/>
    <x v="0"/>
    <n v="770"/>
  </r>
  <r>
    <d v="2024-05-26T00:00:00"/>
    <n v="2024"/>
    <n v="5"/>
    <n v="2"/>
    <s v="Camiseta"/>
    <x v="1"/>
    <s v="Bruno"/>
    <x v="3"/>
    <n v="1"/>
    <n v="132"/>
    <n v="132"/>
    <x v="3"/>
    <x v="1"/>
    <n v="132"/>
  </r>
  <r>
    <d v="2024-04-05T00:00:00"/>
    <n v="2024"/>
    <n v="4"/>
    <n v="2"/>
    <s v="Jaqueta"/>
    <x v="2"/>
    <s v="Ana"/>
    <x v="4"/>
    <n v="13"/>
    <n v="57"/>
    <n v="741"/>
    <x v="4"/>
    <x v="2"/>
    <n v="741"/>
  </r>
  <r>
    <d v="2024-09-13T00:00:00"/>
    <n v="2024"/>
    <n v="9"/>
    <n v="3"/>
    <s v="Camiseta"/>
    <x v="2"/>
    <s v="Daniel"/>
    <x v="4"/>
    <n v="17"/>
    <n v="70"/>
    <n v="1190"/>
    <x v="4"/>
    <x v="2"/>
    <n v="1190"/>
  </r>
  <r>
    <d v="2024-11-20T00:00:00"/>
    <n v="2024"/>
    <n v="11"/>
    <n v="4"/>
    <s v="Meia"/>
    <x v="1"/>
    <s v="Carla"/>
    <x v="2"/>
    <n v="3"/>
    <n v="128"/>
    <n v="384"/>
    <x v="2"/>
    <x v="1"/>
    <n v="384"/>
  </r>
  <r>
    <d v="2024-01-04T00:00:00"/>
    <n v="2024"/>
    <n v="1"/>
    <n v="1"/>
    <s v="Camiseta"/>
    <x v="1"/>
    <s v="Ana"/>
    <x v="4"/>
    <n v="8"/>
    <n v="76"/>
    <n v="608"/>
    <x v="4"/>
    <x v="1"/>
    <n v="608"/>
  </r>
  <r>
    <d v="2024-01-16T00:00:00"/>
    <n v="2024"/>
    <n v="1"/>
    <n v="1"/>
    <s v="Camiseta"/>
    <x v="0"/>
    <s v="Daniel"/>
    <x v="1"/>
    <n v="14"/>
    <n v="175"/>
    <n v="2450"/>
    <x v="1"/>
    <x v="0"/>
    <n v="2450"/>
  </r>
  <r>
    <d v="2024-10-06T00:00:00"/>
    <n v="2024"/>
    <n v="10"/>
    <n v="4"/>
    <s v="Jaqueta"/>
    <x v="1"/>
    <s v="Ana"/>
    <x v="0"/>
    <n v="3"/>
    <n v="134"/>
    <n v="402"/>
    <x v="0"/>
    <x v="1"/>
    <n v="402"/>
  </r>
  <r>
    <m/>
    <m/>
    <m/>
    <m/>
    <m/>
    <x v="3"/>
    <m/>
    <x v="5"/>
    <m/>
    <m/>
    <m/>
    <x v="6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50B1D-6D83-4528-8EF2-E36E0945A704}" name="Tabela dinâ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D6" firstHeaderRow="0" firstDataRow="1" firstDataCol="1"/>
  <pivotFields count="13">
    <pivotField numFmtId="14" showAll="0">
      <items count="268">
        <item x="248"/>
        <item x="58"/>
        <item x="201"/>
        <item x="109"/>
        <item x="204"/>
        <item x="85"/>
        <item x="265"/>
        <item x="125"/>
        <item x="46"/>
        <item x="81"/>
        <item x="266"/>
        <item x="202"/>
        <item x="210"/>
        <item x="228"/>
        <item x="6"/>
        <item x="24"/>
        <item x="263"/>
        <item x="223"/>
        <item x="198"/>
        <item x="94"/>
        <item x="123"/>
        <item x="98"/>
        <item x="54"/>
        <item x="124"/>
        <item x="182"/>
        <item x="195"/>
        <item x="173"/>
        <item x="79"/>
        <item x="114"/>
        <item x="65"/>
        <item x="132"/>
        <item x="203"/>
        <item x="239"/>
        <item x="99"/>
        <item x="28"/>
        <item x="57"/>
        <item x="34"/>
        <item x="118"/>
        <item x="50"/>
        <item x="59"/>
        <item x="36"/>
        <item x="213"/>
        <item x="29"/>
        <item x="179"/>
        <item x="100"/>
        <item x="88"/>
        <item x="83"/>
        <item x="131"/>
        <item x="190"/>
        <item x="253"/>
        <item x="4"/>
        <item x="184"/>
        <item x="255"/>
        <item x="56"/>
        <item x="129"/>
        <item x="10"/>
        <item x="44"/>
        <item x="52"/>
        <item x="259"/>
        <item x="207"/>
        <item x="119"/>
        <item x="166"/>
        <item x="163"/>
        <item x="103"/>
        <item x="11"/>
        <item x="107"/>
        <item x="0"/>
        <item x="185"/>
        <item x="60"/>
        <item x="3"/>
        <item x="134"/>
        <item x="178"/>
        <item x="150"/>
        <item x="215"/>
        <item x="140"/>
        <item x="246"/>
        <item x="251"/>
        <item x="183"/>
        <item x="139"/>
        <item x="7"/>
        <item x="161"/>
        <item x="167"/>
        <item x="234"/>
        <item x="156"/>
        <item x="218"/>
        <item x="136"/>
        <item x="86"/>
        <item x="152"/>
        <item x="14"/>
        <item x="133"/>
        <item x="40"/>
        <item x="87"/>
        <item x="144"/>
        <item x="89"/>
        <item x="181"/>
        <item x="230"/>
        <item x="121"/>
        <item x="165"/>
        <item x="242"/>
        <item x="170"/>
        <item x="169"/>
        <item x="15"/>
        <item x="175"/>
        <item x="13"/>
        <item x="186"/>
        <item x="256"/>
        <item x="219"/>
        <item x="80"/>
        <item x="194"/>
        <item x="126"/>
        <item x="22"/>
        <item x="66"/>
        <item x="90"/>
        <item x="146"/>
        <item x="42"/>
        <item x="189"/>
        <item x="30"/>
        <item x="122"/>
        <item x="104"/>
        <item x="227"/>
        <item x="214"/>
        <item x="33"/>
        <item x="192"/>
        <item x="115"/>
        <item x="149"/>
        <item x="206"/>
        <item x="160"/>
        <item x="257"/>
        <item x="233"/>
        <item x="127"/>
        <item x="31"/>
        <item x="5"/>
        <item x="32"/>
        <item x="63"/>
        <item x="20"/>
        <item x="188"/>
        <item x="191"/>
        <item x="236"/>
        <item x="143"/>
        <item x="171"/>
        <item x="95"/>
        <item x="67"/>
        <item x="159"/>
        <item x="260"/>
        <item x="55"/>
        <item x="113"/>
        <item x="74"/>
        <item x="73"/>
        <item x="105"/>
        <item x="8"/>
        <item x="101"/>
        <item x="78"/>
        <item x="64"/>
        <item x="153"/>
        <item x="120"/>
        <item x="212"/>
        <item x="155"/>
        <item x="138"/>
        <item x="199"/>
        <item x="106"/>
        <item x="245"/>
        <item x="196"/>
        <item x="93"/>
        <item x="141"/>
        <item x="147"/>
        <item x="26"/>
        <item x="75"/>
        <item x="193"/>
        <item x="249"/>
        <item x="164"/>
        <item x="117"/>
        <item x="47"/>
        <item x="128"/>
        <item x="37"/>
        <item x="222"/>
        <item x="157"/>
        <item x="264"/>
        <item x="71"/>
        <item x="25"/>
        <item x="180"/>
        <item x="110"/>
        <item x="208"/>
        <item x="108"/>
        <item x="17"/>
        <item x="142"/>
        <item x="61"/>
        <item x="92"/>
        <item x="237"/>
        <item x="177"/>
        <item x="53"/>
        <item x="48"/>
        <item x="174"/>
        <item x="97"/>
        <item x="241"/>
        <item x="68"/>
        <item x="2"/>
        <item x="252"/>
        <item x="220"/>
        <item x="43"/>
        <item x="244"/>
        <item x="21"/>
        <item x="254"/>
        <item x="247"/>
        <item x="77"/>
        <item x="211"/>
        <item x="112"/>
        <item x="130"/>
        <item x="258"/>
        <item x="135"/>
        <item x="216"/>
        <item x="91"/>
        <item x="250"/>
        <item x="102"/>
        <item x="19"/>
        <item x="151"/>
        <item x="72"/>
        <item x="176"/>
        <item x="221"/>
        <item x="82"/>
        <item x="205"/>
        <item x="70"/>
        <item x="235"/>
        <item x="225"/>
        <item x="39"/>
        <item x="172"/>
        <item x="16"/>
        <item x="62"/>
        <item x="240"/>
        <item x="226"/>
        <item x="23"/>
        <item x="148"/>
        <item x="45"/>
        <item x="200"/>
        <item x="145"/>
        <item x="243"/>
        <item x="38"/>
        <item x="229"/>
        <item x="232"/>
        <item x="209"/>
        <item x="158"/>
        <item x="162"/>
        <item x="168"/>
        <item x="84"/>
        <item x="96"/>
        <item x="41"/>
        <item x="9"/>
        <item x="76"/>
        <item x="51"/>
        <item x="261"/>
        <item x="217"/>
        <item x="154"/>
        <item x="18"/>
        <item x="27"/>
        <item x="49"/>
        <item x="137"/>
        <item x="1"/>
        <item x="238"/>
        <item x="69"/>
        <item x="116"/>
        <item x="231"/>
        <item x="224"/>
        <item x="262"/>
        <item x="111"/>
        <item x="12"/>
        <item x="35"/>
        <item x="197"/>
        <item x="187"/>
        <item t="default"/>
      </items>
    </pivotField>
    <pivotField showAll="0"/>
    <pivotField showAll="0"/>
    <pivotField showAll="0"/>
    <pivotField axis="axisRow" showAll="0" sortType="descending">
      <items count="11">
        <item x="9"/>
        <item x="3"/>
        <item x="1"/>
        <item x="2"/>
        <item x="7"/>
        <item x="0"/>
        <item x="8"/>
        <item x="6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sd="0" x="2"/>
        <item sd="0" x="0"/>
        <item sd="0" x="1"/>
        <item sd="0" x="3"/>
        <item t="default"/>
      </items>
    </pivotField>
    <pivotField showAll="0">
      <items count="6">
        <item x="4"/>
        <item h="1" x="2"/>
        <item h="1" x="0"/>
        <item h="1" x="3"/>
        <item h="1" x="1"/>
        <item t="default"/>
      </items>
    </pivotField>
    <pivotField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5"/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_total" fld="10" showDataAs="percentOfTotal" baseField="0" baseItem="0" numFmtId="10"/>
    <dataField name="Soma de valor_total2" fld="10" baseField="0" baseItem="0"/>
  </dataFields>
  <formats count="3">
    <format dxfId="20">
      <pivotArea collapsedLevelsAreSubtotals="1" fieldPosition="0">
        <references count="1">
          <reference field="5" count="0"/>
        </references>
      </pivotArea>
    </format>
    <format dxfId="21">
      <pivotArea collapsedLevelsAreSubtotals="1" fieldPosition="0">
        <references count="2">
          <reference field="4" count="1">
            <x v="9"/>
          </reference>
          <reference field="5" count="1" selected="0">
            <x v="0"/>
          </reference>
        </references>
      </pivotArea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E4DB1-4DE2-4A9C-AA38-2A57045A9780}" name="Tabela dinâmica2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C8" firstHeaderRow="1" firstDataRow="1" firstDataCol="1"/>
  <pivotFields count="13">
    <pivotField numFmtId="14" showAll="0">
      <items count="268">
        <item x="248"/>
        <item x="58"/>
        <item x="201"/>
        <item x="109"/>
        <item x="204"/>
        <item x="85"/>
        <item x="265"/>
        <item x="125"/>
        <item x="46"/>
        <item x="81"/>
        <item x="266"/>
        <item x="202"/>
        <item x="210"/>
        <item x="228"/>
        <item x="6"/>
        <item x="24"/>
        <item x="263"/>
        <item x="223"/>
        <item x="198"/>
        <item x="94"/>
        <item x="123"/>
        <item x="98"/>
        <item x="54"/>
        <item x="124"/>
        <item x="182"/>
        <item x="195"/>
        <item x="173"/>
        <item x="79"/>
        <item x="114"/>
        <item x="65"/>
        <item x="132"/>
        <item x="203"/>
        <item x="239"/>
        <item x="99"/>
        <item x="28"/>
        <item x="57"/>
        <item x="34"/>
        <item x="118"/>
        <item x="50"/>
        <item x="59"/>
        <item x="36"/>
        <item x="213"/>
        <item x="29"/>
        <item x="179"/>
        <item x="100"/>
        <item x="88"/>
        <item x="83"/>
        <item x="131"/>
        <item x="190"/>
        <item x="253"/>
        <item x="4"/>
        <item x="184"/>
        <item x="255"/>
        <item x="56"/>
        <item x="129"/>
        <item x="10"/>
        <item x="44"/>
        <item x="52"/>
        <item x="259"/>
        <item x="207"/>
        <item x="119"/>
        <item x="166"/>
        <item x="163"/>
        <item x="103"/>
        <item x="11"/>
        <item x="107"/>
        <item x="0"/>
        <item x="185"/>
        <item x="60"/>
        <item x="3"/>
        <item x="134"/>
        <item x="178"/>
        <item x="150"/>
        <item x="215"/>
        <item x="140"/>
        <item x="246"/>
        <item x="251"/>
        <item x="183"/>
        <item x="139"/>
        <item x="7"/>
        <item x="161"/>
        <item x="167"/>
        <item x="234"/>
        <item x="156"/>
        <item x="218"/>
        <item x="136"/>
        <item x="86"/>
        <item x="152"/>
        <item x="14"/>
        <item x="133"/>
        <item x="40"/>
        <item x="87"/>
        <item x="144"/>
        <item x="89"/>
        <item x="181"/>
        <item x="230"/>
        <item x="121"/>
        <item x="165"/>
        <item x="242"/>
        <item x="170"/>
        <item x="169"/>
        <item x="15"/>
        <item x="175"/>
        <item x="13"/>
        <item x="186"/>
        <item x="256"/>
        <item x="219"/>
        <item x="80"/>
        <item x="194"/>
        <item x="126"/>
        <item x="22"/>
        <item x="66"/>
        <item x="90"/>
        <item x="146"/>
        <item x="42"/>
        <item x="189"/>
        <item x="30"/>
        <item x="122"/>
        <item x="104"/>
        <item x="227"/>
        <item x="214"/>
        <item x="33"/>
        <item x="192"/>
        <item x="115"/>
        <item x="149"/>
        <item x="206"/>
        <item x="160"/>
        <item x="257"/>
        <item x="233"/>
        <item x="127"/>
        <item x="31"/>
        <item x="5"/>
        <item x="32"/>
        <item x="63"/>
        <item x="20"/>
        <item x="188"/>
        <item x="191"/>
        <item x="236"/>
        <item x="143"/>
        <item x="171"/>
        <item x="95"/>
        <item x="67"/>
        <item x="159"/>
        <item x="260"/>
        <item x="55"/>
        <item x="113"/>
        <item x="74"/>
        <item x="73"/>
        <item x="105"/>
        <item x="8"/>
        <item x="101"/>
        <item x="78"/>
        <item x="64"/>
        <item x="153"/>
        <item x="120"/>
        <item x="212"/>
        <item x="155"/>
        <item x="138"/>
        <item x="199"/>
        <item x="106"/>
        <item x="245"/>
        <item x="196"/>
        <item x="93"/>
        <item x="141"/>
        <item x="147"/>
        <item x="26"/>
        <item x="75"/>
        <item x="193"/>
        <item x="249"/>
        <item x="164"/>
        <item x="117"/>
        <item x="47"/>
        <item x="128"/>
        <item x="37"/>
        <item x="222"/>
        <item x="157"/>
        <item x="264"/>
        <item x="71"/>
        <item x="25"/>
        <item x="180"/>
        <item x="110"/>
        <item x="208"/>
        <item x="108"/>
        <item x="17"/>
        <item x="142"/>
        <item x="61"/>
        <item x="92"/>
        <item x="237"/>
        <item x="177"/>
        <item x="53"/>
        <item x="48"/>
        <item x="174"/>
        <item x="97"/>
        <item x="241"/>
        <item x="68"/>
        <item x="2"/>
        <item x="252"/>
        <item x="220"/>
        <item x="43"/>
        <item x="244"/>
        <item x="21"/>
        <item x="254"/>
        <item x="247"/>
        <item x="77"/>
        <item x="211"/>
        <item x="112"/>
        <item x="130"/>
        <item x="258"/>
        <item x="135"/>
        <item x="216"/>
        <item x="91"/>
        <item x="250"/>
        <item x="102"/>
        <item x="19"/>
        <item x="151"/>
        <item x="72"/>
        <item x="176"/>
        <item x="221"/>
        <item x="82"/>
        <item x="205"/>
        <item x="70"/>
        <item x="235"/>
        <item x="225"/>
        <item x="39"/>
        <item x="172"/>
        <item x="16"/>
        <item x="62"/>
        <item x="240"/>
        <item x="226"/>
        <item x="23"/>
        <item x="148"/>
        <item x="45"/>
        <item x="200"/>
        <item x="145"/>
        <item x="243"/>
        <item x="38"/>
        <item x="229"/>
        <item x="232"/>
        <item x="209"/>
        <item x="158"/>
        <item x="162"/>
        <item x="168"/>
        <item x="84"/>
        <item x="96"/>
        <item x="41"/>
        <item x="9"/>
        <item x="76"/>
        <item x="51"/>
        <item x="261"/>
        <item x="217"/>
        <item x="154"/>
        <item x="18"/>
        <item x="27"/>
        <item x="49"/>
        <item x="137"/>
        <item x="1"/>
        <item x="238"/>
        <item x="69"/>
        <item x="116"/>
        <item x="231"/>
        <item x="224"/>
        <item x="262"/>
        <item x="111"/>
        <item x="12"/>
        <item x="35"/>
        <item x="197"/>
        <item x="187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6">
    <i>
      <x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Média de valor_total" fld="10" subtotal="average" baseField="0" baseItem="0"/>
  </dataFields>
  <formats count="1">
    <format dxfId="19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0ECB8-6C73-4AC7-9FDB-700BC61B417C}" name="Tabela dinâmica4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1" firstHeaderRow="1" firstDataRow="2" firstDataCol="1"/>
  <pivotFields count="13">
    <pivotField numFmtId="14" showAll="0">
      <items count="268">
        <item x="248"/>
        <item x="58"/>
        <item x="201"/>
        <item x="109"/>
        <item x="204"/>
        <item x="85"/>
        <item x="265"/>
        <item x="125"/>
        <item x="46"/>
        <item x="81"/>
        <item x="266"/>
        <item x="202"/>
        <item x="210"/>
        <item x="228"/>
        <item x="6"/>
        <item x="24"/>
        <item x="263"/>
        <item x="223"/>
        <item x="198"/>
        <item x="94"/>
        <item x="123"/>
        <item x="98"/>
        <item x="54"/>
        <item x="124"/>
        <item x="182"/>
        <item x="195"/>
        <item x="173"/>
        <item x="79"/>
        <item x="114"/>
        <item x="65"/>
        <item x="132"/>
        <item x="203"/>
        <item x="239"/>
        <item x="99"/>
        <item x="28"/>
        <item x="57"/>
        <item x="34"/>
        <item x="118"/>
        <item x="50"/>
        <item x="59"/>
        <item x="36"/>
        <item x="213"/>
        <item x="29"/>
        <item x="179"/>
        <item x="100"/>
        <item x="88"/>
        <item x="83"/>
        <item x="131"/>
        <item x="190"/>
        <item x="253"/>
        <item x="4"/>
        <item x="184"/>
        <item x="255"/>
        <item x="56"/>
        <item x="129"/>
        <item x="10"/>
        <item x="44"/>
        <item x="52"/>
        <item x="259"/>
        <item x="207"/>
        <item x="119"/>
        <item x="166"/>
        <item x="163"/>
        <item x="103"/>
        <item x="11"/>
        <item x="107"/>
        <item x="0"/>
        <item x="185"/>
        <item x="60"/>
        <item x="3"/>
        <item x="134"/>
        <item x="178"/>
        <item x="150"/>
        <item x="215"/>
        <item x="140"/>
        <item x="246"/>
        <item x="251"/>
        <item x="183"/>
        <item x="139"/>
        <item x="7"/>
        <item x="161"/>
        <item x="167"/>
        <item x="234"/>
        <item x="156"/>
        <item x="218"/>
        <item x="136"/>
        <item x="86"/>
        <item x="152"/>
        <item x="14"/>
        <item x="133"/>
        <item x="40"/>
        <item x="87"/>
        <item x="144"/>
        <item x="89"/>
        <item x="181"/>
        <item x="230"/>
        <item x="121"/>
        <item x="165"/>
        <item x="242"/>
        <item x="170"/>
        <item x="169"/>
        <item x="15"/>
        <item x="175"/>
        <item x="13"/>
        <item x="186"/>
        <item x="256"/>
        <item x="219"/>
        <item x="80"/>
        <item x="194"/>
        <item x="126"/>
        <item x="22"/>
        <item x="66"/>
        <item x="90"/>
        <item x="146"/>
        <item x="42"/>
        <item x="189"/>
        <item x="30"/>
        <item x="122"/>
        <item x="104"/>
        <item x="227"/>
        <item x="214"/>
        <item x="33"/>
        <item x="192"/>
        <item x="115"/>
        <item x="149"/>
        <item x="206"/>
        <item x="160"/>
        <item x="257"/>
        <item x="233"/>
        <item x="127"/>
        <item x="31"/>
        <item x="5"/>
        <item x="32"/>
        <item x="63"/>
        <item x="20"/>
        <item x="188"/>
        <item x="191"/>
        <item x="236"/>
        <item x="143"/>
        <item x="171"/>
        <item x="95"/>
        <item x="67"/>
        <item x="159"/>
        <item x="260"/>
        <item x="55"/>
        <item x="113"/>
        <item x="74"/>
        <item x="73"/>
        <item x="105"/>
        <item x="8"/>
        <item x="101"/>
        <item x="78"/>
        <item x="64"/>
        <item x="153"/>
        <item x="120"/>
        <item x="212"/>
        <item x="155"/>
        <item x="138"/>
        <item x="199"/>
        <item x="106"/>
        <item x="245"/>
        <item x="196"/>
        <item x="93"/>
        <item x="141"/>
        <item x="147"/>
        <item x="26"/>
        <item x="75"/>
        <item x="193"/>
        <item x="249"/>
        <item x="164"/>
        <item x="117"/>
        <item x="47"/>
        <item x="128"/>
        <item x="37"/>
        <item x="222"/>
        <item x="157"/>
        <item x="264"/>
        <item x="71"/>
        <item x="25"/>
        <item x="180"/>
        <item x="110"/>
        <item x="208"/>
        <item x="108"/>
        <item x="17"/>
        <item x="142"/>
        <item x="61"/>
        <item x="92"/>
        <item x="237"/>
        <item x="177"/>
        <item x="53"/>
        <item x="48"/>
        <item x="174"/>
        <item x="97"/>
        <item x="241"/>
        <item x="68"/>
        <item x="2"/>
        <item x="252"/>
        <item x="220"/>
        <item x="43"/>
        <item x="244"/>
        <item x="21"/>
        <item x="254"/>
        <item x="247"/>
        <item x="77"/>
        <item x="211"/>
        <item x="112"/>
        <item x="130"/>
        <item x="258"/>
        <item x="135"/>
        <item x="216"/>
        <item x="91"/>
        <item x="250"/>
        <item x="102"/>
        <item x="19"/>
        <item x="151"/>
        <item x="72"/>
        <item x="176"/>
        <item x="221"/>
        <item x="82"/>
        <item x="205"/>
        <item x="70"/>
        <item x="235"/>
        <item x="225"/>
        <item x="39"/>
        <item x="172"/>
        <item x="16"/>
        <item x="62"/>
        <item x="240"/>
        <item x="226"/>
        <item x="23"/>
        <item x="148"/>
        <item x="45"/>
        <item x="200"/>
        <item x="145"/>
        <item x="243"/>
        <item x="38"/>
        <item x="229"/>
        <item x="232"/>
        <item x="209"/>
        <item x="158"/>
        <item x="162"/>
        <item x="168"/>
        <item x="84"/>
        <item x="96"/>
        <item x="41"/>
        <item x="9"/>
        <item x="76"/>
        <item x="51"/>
        <item x="261"/>
        <item x="217"/>
        <item x="154"/>
        <item x="18"/>
        <item x="27"/>
        <item x="49"/>
        <item x="137"/>
        <item x="1"/>
        <item x="238"/>
        <item x="69"/>
        <item x="116"/>
        <item x="231"/>
        <item x="224"/>
        <item x="262"/>
        <item x="111"/>
        <item x="12"/>
        <item x="35"/>
        <item x="197"/>
        <item x="187"/>
        <item t="default"/>
      </items>
    </pivotField>
    <pivotField showAll="0"/>
    <pivotField axis="axisCol" showAll="0">
      <items count="13">
        <item x="5"/>
        <item x="11"/>
        <item x="3"/>
        <item x="0"/>
        <item x="6"/>
        <item x="10"/>
        <item x="4"/>
        <item x="7"/>
        <item x="2"/>
        <item x="9"/>
        <item x="8"/>
        <item x="1"/>
        <item t="default"/>
      </items>
    </pivotField>
    <pivotField showAll="0"/>
    <pivotField showAll="0"/>
    <pivotField showAll="0"/>
    <pivotField showAll="0"/>
    <pivotField axis="axisRow" showAll="0" sortType="descending">
      <items count="7">
        <item x="2"/>
        <item x="1"/>
        <item x="0"/>
        <item x="4"/>
        <item x="3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1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7">
    <i>
      <x/>
    </i>
    <i>
      <x v="4"/>
    </i>
    <i>
      <x v="3"/>
    </i>
    <i>
      <x v="2"/>
    </i>
    <i>
      <x v="1"/>
    </i>
    <i>
      <x v="5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_total" fld="10" baseField="0" baseItem="0" numFmtId="44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5BEB2-9A21-4956-8DD2-4579FC518853}" name="Tabela dinâmica5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4" firstHeaderRow="0" firstDataRow="1" firstDataCol="1"/>
  <pivotFields count="13">
    <pivotField numFmtId="14" showAll="0">
      <items count="268">
        <item x="248"/>
        <item x="58"/>
        <item x="201"/>
        <item x="109"/>
        <item x="204"/>
        <item x="85"/>
        <item x="265"/>
        <item x="125"/>
        <item x="46"/>
        <item x="81"/>
        <item x="266"/>
        <item x="202"/>
        <item x="210"/>
        <item x="228"/>
        <item x="6"/>
        <item x="24"/>
        <item x="263"/>
        <item x="223"/>
        <item x="198"/>
        <item x="94"/>
        <item x="123"/>
        <item x="98"/>
        <item x="54"/>
        <item x="124"/>
        <item x="182"/>
        <item x="195"/>
        <item x="173"/>
        <item x="79"/>
        <item x="114"/>
        <item x="65"/>
        <item x="132"/>
        <item x="203"/>
        <item x="239"/>
        <item x="99"/>
        <item x="28"/>
        <item x="57"/>
        <item x="34"/>
        <item x="118"/>
        <item x="50"/>
        <item x="59"/>
        <item x="36"/>
        <item x="213"/>
        <item x="29"/>
        <item x="179"/>
        <item x="100"/>
        <item x="88"/>
        <item x="83"/>
        <item x="131"/>
        <item x="190"/>
        <item x="253"/>
        <item x="4"/>
        <item x="184"/>
        <item x="255"/>
        <item x="56"/>
        <item x="129"/>
        <item x="10"/>
        <item x="44"/>
        <item x="52"/>
        <item x="259"/>
        <item x="207"/>
        <item x="119"/>
        <item x="166"/>
        <item x="163"/>
        <item x="103"/>
        <item x="11"/>
        <item x="107"/>
        <item x="0"/>
        <item x="185"/>
        <item x="60"/>
        <item x="3"/>
        <item x="134"/>
        <item x="178"/>
        <item x="150"/>
        <item x="215"/>
        <item x="140"/>
        <item x="246"/>
        <item x="251"/>
        <item x="183"/>
        <item x="139"/>
        <item x="7"/>
        <item x="161"/>
        <item x="167"/>
        <item x="234"/>
        <item x="156"/>
        <item x="218"/>
        <item x="136"/>
        <item x="86"/>
        <item x="152"/>
        <item x="14"/>
        <item x="133"/>
        <item x="40"/>
        <item x="87"/>
        <item x="144"/>
        <item x="89"/>
        <item x="181"/>
        <item x="230"/>
        <item x="121"/>
        <item x="165"/>
        <item x="242"/>
        <item x="170"/>
        <item x="169"/>
        <item x="15"/>
        <item x="175"/>
        <item x="13"/>
        <item x="186"/>
        <item x="256"/>
        <item x="219"/>
        <item x="80"/>
        <item x="194"/>
        <item x="126"/>
        <item x="22"/>
        <item x="66"/>
        <item x="90"/>
        <item x="146"/>
        <item x="42"/>
        <item x="189"/>
        <item x="30"/>
        <item x="122"/>
        <item x="104"/>
        <item x="227"/>
        <item x="214"/>
        <item x="33"/>
        <item x="192"/>
        <item x="115"/>
        <item x="149"/>
        <item x="206"/>
        <item x="160"/>
        <item x="257"/>
        <item x="233"/>
        <item x="127"/>
        <item x="31"/>
        <item x="5"/>
        <item x="32"/>
        <item x="63"/>
        <item x="20"/>
        <item x="188"/>
        <item x="191"/>
        <item x="236"/>
        <item x="143"/>
        <item x="171"/>
        <item x="95"/>
        <item x="67"/>
        <item x="159"/>
        <item x="260"/>
        <item x="55"/>
        <item x="113"/>
        <item x="74"/>
        <item x="73"/>
        <item x="105"/>
        <item x="8"/>
        <item x="101"/>
        <item x="78"/>
        <item x="64"/>
        <item x="153"/>
        <item x="120"/>
        <item x="212"/>
        <item x="155"/>
        <item x="138"/>
        <item x="199"/>
        <item x="106"/>
        <item x="245"/>
        <item x="196"/>
        <item x="93"/>
        <item x="141"/>
        <item x="147"/>
        <item x="26"/>
        <item x="75"/>
        <item x="193"/>
        <item x="249"/>
        <item x="164"/>
        <item x="117"/>
        <item x="47"/>
        <item x="128"/>
        <item x="37"/>
        <item x="222"/>
        <item x="157"/>
        <item x="264"/>
        <item x="71"/>
        <item x="25"/>
        <item x="180"/>
        <item x="110"/>
        <item x="208"/>
        <item x="108"/>
        <item x="17"/>
        <item x="142"/>
        <item x="61"/>
        <item x="92"/>
        <item x="237"/>
        <item x="177"/>
        <item x="53"/>
        <item x="48"/>
        <item x="174"/>
        <item x="97"/>
        <item x="241"/>
        <item x="68"/>
        <item x="2"/>
        <item x="252"/>
        <item x="220"/>
        <item x="43"/>
        <item x="244"/>
        <item x="21"/>
        <item x="254"/>
        <item x="247"/>
        <item x="77"/>
        <item x="211"/>
        <item x="112"/>
        <item x="130"/>
        <item x="258"/>
        <item x="135"/>
        <item x="216"/>
        <item x="91"/>
        <item x="250"/>
        <item x="102"/>
        <item x="19"/>
        <item x="151"/>
        <item x="72"/>
        <item x="176"/>
        <item x="221"/>
        <item x="82"/>
        <item x="205"/>
        <item x="70"/>
        <item x="235"/>
        <item x="225"/>
        <item x="39"/>
        <item x="172"/>
        <item x="16"/>
        <item x="62"/>
        <item x="240"/>
        <item x="226"/>
        <item x="23"/>
        <item x="148"/>
        <item x="45"/>
        <item x="200"/>
        <item x="145"/>
        <item x="243"/>
        <item x="38"/>
        <item x="229"/>
        <item x="232"/>
        <item x="209"/>
        <item x="158"/>
        <item x="162"/>
        <item x="168"/>
        <item x="84"/>
        <item x="96"/>
        <item x="41"/>
        <item x="9"/>
        <item x="76"/>
        <item x="51"/>
        <item x="261"/>
        <item x="217"/>
        <item x="154"/>
        <item x="18"/>
        <item x="27"/>
        <item x="49"/>
        <item x="137"/>
        <item x="1"/>
        <item x="238"/>
        <item x="69"/>
        <item x="116"/>
        <item x="231"/>
        <item x="224"/>
        <item x="262"/>
        <item x="111"/>
        <item x="12"/>
        <item x="35"/>
        <item x="197"/>
        <item x="187"/>
        <item t="default"/>
      </items>
    </pivotField>
    <pivotField showAll="0"/>
    <pivotField showAll="0"/>
    <pivotField showAll="0"/>
    <pivotField axis="axisRow" showAll="0">
      <items count="11">
        <item x="9"/>
        <item x="3"/>
        <item x="1"/>
        <item x="2"/>
        <item x="7"/>
        <item x="0"/>
        <item x="8"/>
        <item x="6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8" baseField="0" baseItem="0"/>
    <dataField name="Contagem de valor_total" fld="10" subtotal="count" baseField="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3F8AB-E49C-4800-907A-B048E8639F69}" name="Tabela dinâmica6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9" firstHeaderRow="1" firstDataRow="2" firstDataCol="1"/>
  <pivotFields count="13">
    <pivotField numFmtId="14" showAll="0">
      <items count="268">
        <item x="248"/>
        <item x="58"/>
        <item x="201"/>
        <item x="109"/>
        <item x="204"/>
        <item x="85"/>
        <item x="265"/>
        <item x="125"/>
        <item x="46"/>
        <item x="81"/>
        <item x="266"/>
        <item x="202"/>
        <item x="210"/>
        <item x="228"/>
        <item x="6"/>
        <item x="24"/>
        <item x="263"/>
        <item x="223"/>
        <item x="198"/>
        <item x="94"/>
        <item x="123"/>
        <item x="98"/>
        <item x="54"/>
        <item x="124"/>
        <item x="182"/>
        <item x="195"/>
        <item x="173"/>
        <item x="79"/>
        <item x="114"/>
        <item x="65"/>
        <item x="132"/>
        <item x="203"/>
        <item x="239"/>
        <item x="99"/>
        <item x="28"/>
        <item x="57"/>
        <item x="34"/>
        <item x="118"/>
        <item x="50"/>
        <item x="59"/>
        <item x="36"/>
        <item x="213"/>
        <item x="29"/>
        <item x="179"/>
        <item x="100"/>
        <item x="88"/>
        <item x="83"/>
        <item x="131"/>
        <item x="190"/>
        <item x="253"/>
        <item x="4"/>
        <item x="184"/>
        <item x="255"/>
        <item x="56"/>
        <item x="129"/>
        <item x="10"/>
        <item x="44"/>
        <item x="52"/>
        <item x="259"/>
        <item x="207"/>
        <item x="119"/>
        <item x="166"/>
        <item x="163"/>
        <item x="103"/>
        <item x="11"/>
        <item x="107"/>
        <item x="0"/>
        <item x="185"/>
        <item x="60"/>
        <item x="3"/>
        <item x="134"/>
        <item x="178"/>
        <item x="150"/>
        <item x="215"/>
        <item x="140"/>
        <item x="246"/>
        <item x="251"/>
        <item x="183"/>
        <item x="139"/>
        <item x="7"/>
        <item x="161"/>
        <item x="167"/>
        <item x="234"/>
        <item x="156"/>
        <item x="218"/>
        <item x="136"/>
        <item x="86"/>
        <item x="152"/>
        <item x="14"/>
        <item x="133"/>
        <item x="40"/>
        <item x="87"/>
        <item x="144"/>
        <item x="89"/>
        <item x="181"/>
        <item x="230"/>
        <item x="121"/>
        <item x="165"/>
        <item x="242"/>
        <item x="170"/>
        <item x="169"/>
        <item x="15"/>
        <item x="175"/>
        <item x="13"/>
        <item x="186"/>
        <item x="256"/>
        <item x="219"/>
        <item x="80"/>
        <item x="194"/>
        <item x="126"/>
        <item x="22"/>
        <item x="66"/>
        <item x="90"/>
        <item x="146"/>
        <item x="42"/>
        <item x="189"/>
        <item x="30"/>
        <item x="122"/>
        <item x="104"/>
        <item x="227"/>
        <item x="214"/>
        <item x="33"/>
        <item x="192"/>
        <item x="115"/>
        <item x="149"/>
        <item x="206"/>
        <item x="160"/>
        <item x="257"/>
        <item x="233"/>
        <item x="127"/>
        <item x="31"/>
        <item x="5"/>
        <item x="32"/>
        <item x="63"/>
        <item x="20"/>
        <item x="188"/>
        <item x="191"/>
        <item x="236"/>
        <item x="143"/>
        <item x="171"/>
        <item x="95"/>
        <item x="67"/>
        <item x="159"/>
        <item x="260"/>
        <item x="55"/>
        <item x="113"/>
        <item x="74"/>
        <item x="73"/>
        <item x="105"/>
        <item x="8"/>
        <item x="101"/>
        <item x="78"/>
        <item x="64"/>
        <item x="153"/>
        <item x="120"/>
        <item x="212"/>
        <item x="155"/>
        <item x="138"/>
        <item x="199"/>
        <item x="106"/>
        <item x="245"/>
        <item x="196"/>
        <item x="93"/>
        <item x="141"/>
        <item x="147"/>
        <item x="26"/>
        <item x="75"/>
        <item x="193"/>
        <item x="249"/>
        <item x="164"/>
        <item x="117"/>
        <item x="47"/>
        <item x="128"/>
        <item x="37"/>
        <item x="222"/>
        <item x="157"/>
        <item x="264"/>
        <item x="71"/>
        <item x="25"/>
        <item x="180"/>
        <item x="110"/>
        <item x="208"/>
        <item x="108"/>
        <item x="17"/>
        <item x="142"/>
        <item x="61"/>
        <item x="92"/>
        <item x="237"/>
        <item x="177"/>
        <item x="53"/>
        <item x="48"/>
        <item x="174"/>
        <item x="97"/>
        <item x="241"/>
        <item x="68"/>
        <item x="2"/>
        <item x="252"/>
        <item x="220"/>
        <item x="43"/>
        <item x="244"/>
        <item x="21"/>
        <item x="254"/>
        <item x="247"/>
        <item x="77"/>
        <item x="211"/>
        <item x="112"/>
        <item x="130"/>
        <item x="258"/>
        <item x="135"/>
        <item x="216"/>
        <item x="91"/>
        <item x="250"/>
        <item x="102"/>
        <item x="19"/>
        <item x="151"/>
        <item x="72"/>
        <item x="176"/>
        <item x="221"/>
        <item x="82"/>
        <item x="205"/>
        <item x="70"/>
        <item x="235"/>
        <item x="225"/>
        <item x="39"/>
        <item x="172"/>
        <item x="16"/>
        <item x="62"/>
        <item x="240"/>
        <item x="226"/>
        <item x="23"/>
        <item x="148"/>
        <item x="45"/>
        <item x="200"/>
        <item x="145"/>
        <item x="243"/>
        <item x="38"/>
        <item x="229"/>
        <item x="232"/>
        <item x="209"/>
        <item x="158"/>
        <item x="162"/>
        <item x="168"/>
        <item x="84"/>
        <item x="96"/>
        <item x="41"/>
        <item x="9"/>
        <item x="76"/>
        <item x="51"/>
        <item x="261"/>
        <item x="217"/>
        <item x="154"/>
        <item x="18"/>
        <item x="27"/>
        <item x="49"/>
        <item x="137"/>
        <item x="1"/>
        <item x="238"/>
        <item x="69"/>
        <item x="116"/>
        <item x="231"/>
        <item x="224"/>
        <item x="262"/>
        <item x="111"/>
        <item x="12"/>
        <item x="35"/>
        <item x="197"/>
        <item x="187"/>
        <item t="default"/>
      </items>
    </pivotField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_total" fld="10" baseField="0" baseItem="0" numFmtId="44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6232F-8398-4D59-AD93-AA4CC5A5BD52}" name="Tabela dinâmica7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13">
    <pivotField numFmtId="14" showAll="0">
      <items count="268">
        <item x="248"/>
        <item x="58"/>
        <item x="201"/>
        <item x="109"/>
        <item x="204"/>
        <item x="85"/>
        <item x="265"/>
        <item x="125"/>
        <item x="46"/>
        <item x="81"/>
        <item x="266"/>
        <item x="202"/>
        <item x="210"/>
        <item x="228"/>
        <item x="6"/>
        <item x="24"/>
        <item x="263"/>
        <item x="223"/>
        <item x="198"/>
        <item x="94"/>
        <item x="123"/>
        <item x="98"/>
        <item x="54"/>
        <item x="124"/>
        <item x="182"/>
        <item x="195"/>
        <item x="173"/>
        <item x="79"/>
        <item x="114"/>
        <item x="65"/>
        <item x="132"/>
        <item x="203"/>
        <item x="239"/>
        <item x="99"/>
        <item x="28"/>
        <item x="57"/>
        <item x="34"/>
        <item x="118"/>
        <item x="50"/>
        <item x="59"/>
        <item x="36"/>
        <item x="213"/>
        <item x="29"/>
        <item x="179"/>
        <item x="100"/>
        <item x="88"/>
        <item x="83"/>
        <item x="131"/>
        <item x="190"/>
        <item x="253"/>
        <item x="4"/>
        <item x="184"/>
        <item x="255"/>
        <item x="56"/>
        <item x="129"/>
        <item x="10"/>
        <item x="44"/>
        <item x="52"/>
        <item x="259"/>
        <item x="207"/>
        <item x="119"/>
        <item x="166"/>
        <item x="163"/>
        <item x="103"/>
        <item x="11"/>
        <item x="107"/>
        <item x="0"/>
        <item x="185"/>
        <item x="60"/>
        <item x="3"/>
        <item x="134"/>
        <item x="178"/>
        <item x="150"/>
        <item x="215"/>
        <item x="140"/>
        <item x="246"/>
        <item x="251"/>
        <item x="183"/>
        <item x="139"/>
        <item x="7"/>
        <item x="161"/>
        <item x="167"/>
        <item x="234"/>
        <item x="156"/>
        <item x="218"/>
        <item x="136"/>
        <item x="86"/>
        <item x="152"/>
        <item x="14"/>
        <item x="133"/>
        <item x="40"/>
        <item x="87"/>
        <item x="144"/>
        <item x="89"/>
        <item x="181"/>
        <item x="230"/>
        <item x="121"/>
        <item x="165"/>
        <item x="242"/>
        <item x="170"/>
        <item x="169"/>
        <item x="15"/>
        <item x="175"/>
        <item x="13"/>
        <item x="186"/>
        <item x="256"/>
        <item x="219"/>
        <item x="80"/>
        <item x="194"/>
        <item x="126"/>
        <item x="22"/>
        <item x="66"/>
        <item x="90"/>
        <item x="146"/>
        <item x="42"/>
        <item x="189"/>
        <item x="30"/>
        <item x="122"/>
        <item x="104"/>
        <item x="227"/>
        <item x="214"/>
        <item x="33"/>
        <item x="192"/>
        <item x="115"/>
        <item x="149"/>
        <item x="206"/>
        <item x="160"/>
        <item x="257"/>
        <item x="233"/>
        <item x="127"/>
        <item x="31"/>
        <item x="5"/>
        <item x="32"/>
        <item x="63"/>
        <item x="20"/>
        <item x="188"/>
        <item x="191"/>
        <item x="236"/>
        <item x="143"/>
        <item x="171"/>
        <item x="95"/>
        <item x="67"/>
        <item x="159"/>
        <item x="260"/>
        <item x="55"/>
        <item x="113"/>
        <item x="74"/>
        <item x="73"/>
        <item x="105"/>
        <item x="8"/>
        <item x="101"/>
        <item x="78"/>
        <item x="64"/>
        <item x="153"/>
        <item x="120"/>
        <item x="212"/>
        <item x="155"/>
        <item x="138"/>
        <item x="199"/>
        <item x="106"/>
        <item x="245"/>
        <item x="196"/>
        <item x="93"/>
        <item x="141"/>
        <item x="147"/>
        <item x="26"/>
        <item x="75"/>
        <item x="193"/>
        <item x="249"/>
        <item x="164"/>
        <item x="117"/>
        <item x="47"/>
        <item x="128"/>
        <item x="37"/>
        <item x="222"/>
        <item x="157"/>
        <item x="264"/>
        <item x="71"/>
        <item x="25"/>
        <item x="180"/>
        <item x="110"/>
        <item x="208"/>
        <item x="108"/>
        <item x="17"/>
        <item x="142"/>
        <item x="61"/>
        <item x="92"/>
        <item x="237"/>
        <item x="177"/>
        <item x="53"/>
        <item x="48"/>
        <item x="174"/>
        <item x="97"/>
        <item x="241"/>
        <item x="68"/>
        <item x="2"/>
        <item x="252"/>
        <item x="220"/>
        <item x="43"/>
        <item x="244"/>
        <item x="21"/>
        <item x="254"/>
        <item x="247"/>
        <item x="77"/>
        <item x="211"/>
        <item x="112"/>
        <item x="130"/>
        <item x="258"/>
        <item x="135"/>
        <item x="216"/>
        <item x="91"/>
        <item x="250"/>
        <item x="102"/>
        <item x="19"/>
        <item x="151"/>
        <item x="72"/>
        <item x="176"/>
        <item x="221"/>
        <item x="82"/>
        <item x="205"/>
        <item x="70"/>
        <item x="235"/>
        <item x="225"/>
        <item x="39"/>
        <item x="172"/>
        <item x="16"/>
        <item x="62"/>
        <item x="240"/>
        <item x="226"/>
        <item x="23"/>
        <item x="148"/>
        <item x="45"/>
        <item x="200"/>
        <item x="145"/>
        <item x="243"/>
        <item x="38"/>
        <item x="229"/>
        <item x="232"/>
        <item x="209"/>
        <item x="158"/>
        <item x="162"/>
        <item x="168"/>
        <item x="84"/>
        <item x="96"/>
        <item x="41"/>
        <item x="9"/>
        <item x="76"/>
        <item x="51"/>
        <item x="261"/>
        <item x="217"/>
        <item x="154"/>
        <item x="18"/>
        <item x="27"/>
        <item x="49"/>
        <item x="137"/>
        <item x="1"/>
        <item x="238"/>
        <item x="69"/>
        <item x="116"/>
        <item x="231"/>
        <item x="224"/>
        <item x="262"/>
        <item x="111"/>
        <item x="12"/>
        <item x="35"/>
        <item x="197"/>
        <item x="1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2"/>
    <field x="11"/>
  </rowFields>
  <rowItems count="14">
    <i>
      <x v="1"/>
    </i>
    <i r="1">
      <x v="8"/>
    </i>
    <i r="1">
      <x v="5"/>
    </i>
    <i r="1">
      <x v="4"/>
    </i>
    <i r="1">
      <x v="9"/>
    </i>
    <i r="1">
      <x v="12"/>
    </i>
    <i r="1">
      <x v="7"/>
    </i>
    <i r="1">
      <x v="2"/>
    </i>
    <i r="1">
      <x v="11"/>
    </i>
    <i r="1">
      <x v="6"/>
    </i>
    <i r="1">
      <x v="10"/>
    </i>
    <i r="1">
      <x v="1"/>
    </i>
    <i r="1">
      <x v="3"/>
    </i>
    <i t="grand">
      <x/>
    </i>
  </rowItems>
  <colItems count="1">
    <i/>
  </colItems>
  <dataFields count="1">
    <dataField name="Soma de valor_total" fld="10" baseField="0" baseItem="0" numFmtId="44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34491-9588-4E24-B6C9-F6793090A1C4}" name="Tabela dinâmica10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9" firstHeaderRow="1" firstDataRow="2" firstDataCol="1"/>
  <pivotFields count="14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axis="axisCol"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  <pivotField dataField="1" showAll="0"/>
    <pivotField showAll="0"/>
    <pivotField showAll="0">
      <items count="6">
        <item x="2"/>
        <item x="0"/>
        <item x="3"/>
        <item x="1"/>
        <item x="4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a de valor_total" fld="10" baseField="0" baseItem="0" numFmtId="44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A74E4-AF7F-41AE-A6EF-5B2D21F2F27D}" name="Tabela dinâmica12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9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2"/>
        <item x="1"/>
        <item x="0"/>
        <item x="4"/>
        <item x="3"/>
        <item x="6"/>
        <item x="5"/>
        <item t="default"/>
      </items>
    </pivotField>
    <pivotField axis="axisRow" showAll="0" sortType="descending">
      <items count="6">
        <item x="2"/>
        <item x="0"/>
        <item x="3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2"/>
  </rowFields>
  <rowItems count="5">
    <i>
      <x/>
    </i>
    <i>
      <x v="1"/>
    </i>
    <i>
      <x v="3"/>
    </i>
    <i>
      <x v="2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dataFields count="1">
    <dataField name="Soma de valor_total_tratado" fld="13" baseField="0" baseItem="0" numFmtId="4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BBB646B5-57FA-4671-B774-B80688FC7FCE}" sourceName="vendedor">
  <pivotTables>
    <pivotTable tabId="2" name="Tabela dinâmica1"/>
  </pivotTables>
  <data>
    <tabular pivotCacheId="2014933870">
      <items count="5">
        <i x="4" s="1"/>
        <i x="2"/>
        <i x="0"/>
        <i x="3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ao" xr10:uid="{FC0A0BD5-0302-45DE-9249-CBCFA2046F42}" sourceName="regiao">
  <pivotTables>
    <pivotTable tabId="2" name="Tabela dinâmica1"/>
  </pivotTables>
  <data>
    <tabular pivotCacheId="2014933870">
      <items count="6">
        <i x="2" s="1"/>
        <i x="1" s="1"/>
        <i x="0" s="1"/>
        <i x="4" s="1"/>
        <i x="3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242F16EC-2720-4385-8CF8-7970834F63C9}" cache="SegmentaçãodeDados_vendedor" caption="vendedor" rowHeight="257175"/>
  <slicer name="regiao" xr10:uid="{ABEA99B7-E86C-43ED-B4CD-0D78F896E04A}" cache="SegmentaçãodeDados_regiao" caption="regia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DF87E-7A7A-4C7A-AF24-F943D5D361E1}" name="tblVendas" displayName="tblVendas" ref="A1:N501" totalsRowShown="0">
  <autoFilter ref="A1:N501" xr:uid="{053DF87E-7A7A-4C7A-AF24-F943D5D361E1}"/>
  <tableColumns count="14">
    <tableColumn id="1" xr3:uid="{864C985A-B473-478E-B5A7-1ACFCA0F40B1}" name="data" dataDxfId="22"/>
    <tableColumn id="2" xr3:uid="{9EFA5639-58F3-4CD3-B384-B6167B22F698}" name="ano"/>
    <tableColumn id="3" xr3:uid="{5D8DD597-A8BD-4078-A42B-FA21A5D42142}" name="mes"/>
    <tableColumn id="4" xr3:uid="{264AE303-EF20-45DE-A54F-62E06F3F398C}" name="trimestre"/>
    <tableColumn id="5" xr3:uid="{0BE99F1B-66DF-40D6-8E92-8FACE26658FF}" name="produto"/>
    <tableColumn id="6" xr3:uid="{8A1F279D-72F9-42BC-AA5B-04D5F82D30C7}" name="categoria"/>
    <tableColumn id="7" xr3:uid="{4106E022-4F7C-4395-9C58-3F4F714E1586}" name="vendedor"/>
    <tableColumn id="8" xr3:uid="{A8CB205B-BDBF-4E17-970E-7FEC52310E95}" name="regiao"/>
    <tableColumn id="9" xr3:uid="{675E6F8C-E936-42AF-A8F9-59516D7BD8F2}" name="quantidade"/>
    <tableColumn id="10" xr3:uid="{814E9BCA-7DC9-4154-99AD-EABAB131562B}" name="preco_unitario"/>
    <tableColumn id="11" xr3:uid="{4E98F29C-D899-4691-86F1-8E985B75DD14}" name="valor_total"/>
    <tableColumn id="12" xr3:uid="{E38E2C00-2094-4ED1-BA63-83066E559942}" name="regiao_tratada" dataDxfId="14">
      <calculatedColumnFormula>IF(tblVendas[[#This Row],[regiao]]="", "Não informado", tblVendas[[#This Row],[regiao]])</calculatedColumnFormula>
    </tableColumn>
    <tableColumn id="13" xr3:uid="{7FE337FC-A579-4A68-9F0B-A9C4A82B22E6}" name="categoria_tratada" dataDxfId="13">
      <calculatedColumnFormula>IF(tblVendas[[#This Row],[categoria]]="", "Outros", tblVendas[[#This Row],[categoria]])</calculatedColumnFormula>
    </tableColumn>
    <tableColumn id="14" xr3:uid="{21B767A4-02F7-44E6-A00E-AECA3282FFCF}" name="valor_total_tratado" dataDxfId="12">
      <calculatedColumnFormula>IF(tblVendas[[#This Row],[valor_total]]&lt;0, MEDIAN(tblVendas[valor_total]), tblVendas[[#This Row],[valor_total]])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DDCE-0421-4A5F-95B8-0DDCB6F21302}">
  <dimension ref="B2:D38"/>
  <sheetViews>
    <sheetView workbookViewId="0">
      <selection activeCell="B4" sqref="B4:D4"/>
    </sheetView>
  </sheetViews>
  <sheetFormatPr defaultRowHeight="15" x14ac:dyDescent="0.25"/>
  <cols>
    <col min="1" max="1" width="5.140625" customWidth="1"/>
    <col min="2" max="2" width="18.42578125" bestFit="1" customWidth="1"/>
    <col min="3" max="3" width="18.85546875" style="7" bestFit="1" customWidth="1"/>
    <col min="4" max="4" width="19.85546875" bestFit="1" customWidth="1"/>
    <col min="5" max="5" width="18.42578125" bestFit="1" customWidth="1"/>
    <col min="6" max="6" width="20.28515625" bestFit="1" customWidth="1"/>
  </cols>
  <sheetData>
    <row r="2" spans="2:4" x14ac:dyDescent="0.25">
      <c r="B2" s="2" t="s">
        <v>34</v>
      </c>
      <c r="C2" t="s">
        <v>37</v>
      </c>
      <c r="D2" t="s">
        <v>55</v>
      </c>
    </row>
    <row r="3" spans="2:4" x14ac:dyDescent="0.25">
      <c r="B3" s="3" t="s">
        <v>23</v>
      </c>
      <c r="C3" s="9">
        <v>0.28833503987092368</v>
      </c>
      <c r="D3" s="5">
        <v>37171</v>
      </c>
    </row>
    <row r="4" spans="2:4" x14ac:dyDescent="0.25">
      <c r="B4" s="3" t="s">
        <v>12</v>
      </c>
      <c r="C4" s="9">
        <v>0.42129758912780413</v>
      </c>
      <c r="D4" s="5">
        <v>54312</v>
      </c>
    </row>
    <row r="5" spans="2:4" x14ac:dyDescent="0.25">
      <c r="B5" s="3" t="s">
        <v>19</v>
      </c>
      <c r="C5" s="9">
        <v>0.29036737100127213</v>
      </c>
      <c r="D5" s="5">
        <v>37433</v>
      </c>
    </row>
    <row r="6" spans="2:4" x14ac:dyDescent="0.25">
      <c r="B6" s="3" t="s">
        <v>36</v>
      </c>
      <c r="C6" s="9">
        <v>1</v>
      </c>
      <c r="D6" s="4">
        <v>128916</v>
      </c>
    </row>
    <row r="7" spans="2:4" x14ac:dyDescent="0.25">
      <c r="C7"/>
    </row>
    <row r="8" spans="2:4" x14ac:dyDescent="0.25">
      <c r="C8"/>
    </row>
    <row r="9" spans="2:4" x14ac:dyDescent="0.25">
      <c r="C9"/>
    </row>
    <row r="10" spans="2:4" x14ac:dyDescent="0.25">
      <c r="C10"/>
    </row>
    <row r="11" spans="2:4" x14ac:dyDescent="0.25">
      <c r="C11"/>
    </row>
    <row r="12" spans="2:4" x14ac:dyDescent="0.25">
      <c r="C12"/>
    </row>
    <row r="13" spans="2:4" x14ac:dyDescent="0.25">
      <c r="C13"/>
    </row>
    <row r="14" spans="2:4" x14ac:dyDescent="0.25">
      <c r="C14"/>
    </row>
    <row r="15" spans="2:4" x14ac:dyDescent="0.25">
      <c r="C15"/>
    </row>
    <row r="16" spans="2:4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  <row r="28" spans="3:3" x14ac:dyDescent="0.25">
      <c r="C28"/>
    </row>
    <row r="29" spans="3:3" x14ac:dyDescent="0.25">
      <c r="C29"/>
    </row>
    <row r="30" spans="3:3" x14ac:dyDescent="0.25">
      <c r="C30"/>
    </row>
    <row r="31" spans="3:3" x14ac:dyDescent="0.25">
      <c r="C31"/>
    </row>
    <row r="32" spans="3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</sheetData>
  <pageMargins left="0.511811024" right="0.511811024" top="0.78740157499999996" bottom="0.78740157499999996" header="0.31496062000000002" footer="0.31496062000000002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2CB8-D279-4B76-BA76-8BE44686D6D5}">
  <dimension ref="B2:C8"/>
  <sheetViews>
    <sheetView workbookViewId="0">
      <selection activeCell="B3" sqref="B3:C3"/>
    </sheetView>
  </sheetViews>
  <sheetFormatPr defaultRowHeight="15" x14ac:dyDescent="0.25"/>
  <cols>
    <col min="2" max="2" width="18.42578125" bestFit="1" customWidth="1"/>
    <col min="3" max="3" width="19.28515625" bestFit="1" customWidth="1"/>
  </cols>
  <sheetData>
    <row r="2" spans="2:3" x14ac:dyDescent="0.25">
      <c r="B2" s="2" t="s">
        <v>34</v>
      </c>
      <c r="C2" t="s">
        <v>39</v>
      </c>
    </row>
    <row r="3" spans="2:3" x14ac:dyDescent="0.25">
      <c r="B3" s="3" t="s">
        <v>28</v>
      </c>
      <c r="C3" s="8">
        <v>1329.0309278350514</v>
      </c>
    </row>
    <row r="4" spans="2:3" x14ac:dyDescent="0.25">
      <c r="B4" s="3" t="s">
        <v>24</v>
      </c>
      <c r="C4" s="8">
        <v>1150.9903846153845</v>
      </c>
    </row>
    <row r="5" spans="2:3" x14ac:dyDescent="0.25">
      <c r="B5" s="3" t="s">
        <v>13</v>
      </c>
      <c r="C5" s="8">
        <v>1141.5</v>
      </c>
    </row>
    <row r="6" spans="2:3" x14ac:dyDescent="0.25">
      <c r="B6" s="3" t="s">
        <v>20</v>
      </c>
      <c r="C6" s="8">
        <v>1127.6699029126214</v>
      </c>
    </row>
    <row r="7" spans="2:3" x14ac:dyDescent="0.25">
      <c r="B7" s="3" t="s">
        <v>16</v>
      </c>
      <c r="C7" s="8">
        <v>1025.7647058823529</v>
      </c>
    </row>
    <row r="8" spans="2:3" x14ac:dyDescent="0.25">
      <c r="B8" s="3" t="s">
        <v>36</v>
      </c>
      <c r="C8" s="4">
        <v>1153.396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8E92-9581-45FA-9CE8-F266E728D592}">
  <dimension ref="A3:N11"/>
  <sheetViews>
    <sheetView workbookViewId="0">
      <selection activeCell="M5" sqref="M5"/>
    </sheetView>
  </sheetViews>
  <sheetFormatPr defaultRowHeight="15" x14ac:dyDescent="0.25"/>
  <cols>
    <col min="1" max="1" width="18.85546875" bestFit="1" customWidth="1"/>
    <col min="2" max="2" width="20.140625" bestFit="1" customWidth="1"/>
    <col min="3" max="13" width="13.42578125" bestFit="1" customWidth="1"/>
    <col min="14" max="14" width="14.42578125" bestFit="1" customWidth="1"/>
  </cols>
  <sheetData>
    <row r="3" spans="1:14" x14ac:dyDescent="0.25">
      <c r="A3" s="2" t="s">
        <v>37</v>
      </c>
      <c r="B3" s="2" t="s">
        <v>40</v>
      </c>
    </row>
    <row r="4" spans="1:14" x14ac:dyDescent="0.25">
      <c r="A4" s="2" t="s">
        <v>34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36</v>
      </c>
    </row>
    <row r="5" spans="1:14" x14ac:dyDescent="0.25">
      <c r="A5" s="3" t="s">
        <v>21</v>
      </c>
      <c r="B5" s="8">
        <v>7079</v>
      </c>
      <c r="C5" s="8">
        <v>16087</v>
      </c>
      <c r="D5" s="8">
        <v>2790</v>
      </c>
      <c r="E5" s="8">
        <v>6424</v>
      </c>
      <c r="F5" s="8">
        <v>20298</v>
      </c>
      <c r="G5" s="8">
        <v>10221</v>
      </c>
      <c r="H5" s="8">
        <v>15732</v>
      </c>
      <c r="I5" s="8">
        <v>8353</v>
      </c>
      <c r="J5" s="8">
        <v>6478</v>
      </c>
      <c r="K5" s="8">
        <v>10477</v>
      </c>
      <c r="L5" s="8">
        <v>6530</v>
      </c>
      <c r="M5" s="8">
        <v>16991</v>
      </c>
      <c r="N5" s="8">
        <v>127460</v>
      </c>
    </row>
    <row r="6" spans="1:14" x14ac:dyDescent="0.25">
      <c r="A6" s="3" t="s">
        <v>26</v>
      </c>
      <c r="B6" s="8">
        <v>6177</v>
      </c>
      <c r="C6" s="8">
        <v>14800</v>
      </c>
      <c r="D6" s="8">
        <v>7690</v>
      </c>
      <c r="E6" s="8">
        <v>16945</v>
      </c>
      <c r="F6" s="8">
        <v>9128</v>
      </c>
      <c r="G6" s="8">
        <v>5573</v>
      </c>
      <c r="H6" s="8">
        <v>5852</v>
      </c>
      <c r="I6" s="8">
        <v>18914</v>
      </c>
      <c r="J6" s="8">
        <v>15373</v>
      </c>
      <c r="K6" s="8">
        <v>5589</v>
      </c>
      <c r="L6" s="8">
        <v>6312</v>
      </c>
      <c r="M6" s="8">
        <v>13776</v>
      </c>
      <c r="N6" s="8">
        <v>126129</v>
      </c>
    </row>
    <row r="7" spans="1:14" x14ac:dyDescent="0.25">
      <c r="A7" s="3" t="s">
        <v>29</v>
      </c>
      <c r="B7" s="8">
        <v>5867</v>
      </c>
      <c r="C7" s="8">
        <v>6445</v>
      </c>
      <c r="D7" s="8">
        <v>7512</v>
      </c>
      <c r="E7" s="8">
        <v>7480</v>
      </c>
      <c r="F7" s="8">
        <v>9740</v>
      </c>
      <c r="G7" s="8">
        <v>9712</v>
      </c>
      <c r="H7" s="8">
        <v>10258</v>
      </c>
      <c r="I7" s="8">
        <v>16009</v>
      </c>
      <c r="J7" s="8">
        <v>22294</v>
      </c>
      <c r="K7" s="8">
        <v>6168</v>
      </c>
      <c r="L7" s="8">
        <v>13377</v>
      </c>
      <c r="M7" s="8">
        <v>13111</v>
      </c>
      <c r="N7" s="8">
        <v>127973</v>
      </c>
    </row>
    <row r="8" spans="1:14" x14ac:dyDescent="0.25">
      <c r="A8" s="3" t="s">
        <v>14</v>
      </c>
      <c r="B8" s="8">
        <v>4692</v>
      </c>
      <c r="C8" s="8">
        <v>10361</v>
      </c>
      <c r="D8" s="8">
        <v>8023</v>
      </c>
      <c r="E8" s="8">
        <v>13885</v>
      </c>
      <c r="F8" s="8">
        <v>13784</v>
      </c>
      <c r="G8" s="8">
        <v>5250</v>
      </c>
      <c r="H8" s="8">
        <v>12336</v>
      </c>
      <c r="I8" s="8">
        <v>15157</v>
      </c>
      <c r="J8" s="8">
        <v>6839</v>
      </c>
      <c r="K8" s="8">
        <v>6463</v>
      </c>
      <c r="L8" s="8">
        <v>13173</v>
      </c>
      <c r="M8" s="8">
        <v>7244</v>
      </c>
      <c r="N8" s="8">
        <v>117207</v>
      </c>
    </row>
    <row r="9" spans="1:14" x14ac:dyDescent="0.25">
      <c r="A9" s="3" t="s">
        <v>17</v>
      </c>
      <c r="B9" s="8">
        <v>9792</v>
      </c>
      <c r="C9" s="8">
        <v>3386</v>
      </c>
      <c r="D9" s="8">
        <v>4396</v>
      </c>
      <c r="E9" s="8">
        <v>13170</v>
      </c>
      <c r="F9" s="8">
        <v>6202</v>
      </c>
      <c r="G9" s="8">
        <v>7976</v>
      </c>
      <c r="H9" s="8">
        <v>9068</v>
      </c>
      <c r="I9" s="8">
        <v>1836</v>
      </c>
      <c r="J9" s="8">
        <v>4566</v>
      </c>
      <c r="K9" s="8">
        <v>7843</v>
      </c>
      <c r="L9" s="8">
        <v>4987</v>
      </c>
      <c r="M9" s="8">
        <v>3699</v>
      </c>
      <c r="N9" s="8">
        <v>76921</v>
      </c>
    </row>
    <row r="10" spans="1:14" x14ac:dyDescent="0.25">
      <c r="A10" s="3" t="s">
        <v>35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>
        <v>1008</v>
      </c>
      <c r="M10" s="8"/>
      <c r="N10" s="8">
        <v>1008</v>
      </c>
    </row>
    <row r="11" spans="1:14" x14ac:dyDescent="0.25">
      <c r="A11" s="3" t="s">
        <v>36</v>
      </c>
      <c r="B11" s="8">
        <v>33607</v>
      </c>
      <c r="C11" s="8">
        <v>51079</v>
      </c>
      <c r="D11" s="8">
        <v>30411</v>
      </c>
      <c r="E11" s="8">
        <v>57904</v>
      </c>
      <c r="F11" s="8">
        <v>59152</v>
      </c>
      <c r="G11" s="8">
        <v>38732</v>
      </c>
      <c r="H11" s="8">
        <v>53246</v>
      </c>
      <c r="I11" s="8">
        <v>60269</v>
      </c>
      <c r="J11" s="8">
        <v>55550</v>
      </c>
      <c r="K11" s="8">
        <v>36540</v>
      </c>
      <c r="L11" s="8">
        <v>45387</v>
      </c>
      <c r="M11" s="8">
        <v>54821</v>
      </c>
      <c r="N11" s="8">
        <v>576698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41CB-C60D-4324-AA44-41DD2D7D6981}">
  <dimension ref="A3:C14"/>
  <sheetViews>
    <sheetView workbookViewId="0">
      <selection activeCell="C13" sqref="C13"/>
    </sheetView>
  </sheetViews>
  <sheetFormatPr defaultRowHeight="15" x14ac:dyDescent="0.25"/>
  <cols>
    <col min="1" max="1" width="18.42578125" bestFit="1" customWidth="1"/>
    <col min="2" max="2" width="19.5703125" bestFit="1" customWidth="1"/>
    <col min="3" max="3" width="23.28515625" bestFit="1" customWidth="1"/>
    <col min="4" max="4" width="19.5703125" bestFit="1" customWidth="1"/>
  </cols>
  <sheetData>
    <row r="3" spans="1:3" x14ac:dyDescent="0.25">
      <c r="A3" s="2" t="s">
        <v>34</v>
      </c>
      <c r="B3" t="s">
        <v>41</v>
      </c>
      <c r="C3" t="s">
        <v>38</v>
      </c>
    </row>
    <row r="4" spans="1:3" x14ac:dyDescent="0.25">
      <c r="A4" s="3" t="s">
        <v>33</v>
      </c>
      <c r="B4" s="4">
        <v>502</v>
      </c>
      <c r="C4" s="4">
        <v>49</v>
      </c>
    </row>
    <row r="5" spans="1:3" x14ac:dyDescent="0.25">
      <c r="A5" s="3" t="s">
        <v>22</v>
      </c>
      <c r="B5" s="4">
        <v>375</v>
      </c>
      <c r="C5" s="4">
        <v>41</v>
      </c>
    </row>
    <row r="6" spans="1:3" x14ac:dyDescent="0.25">
      <c r="A6" s="3" t="s">
        <v>15</v>
      </c>
      <c r="B6" s="4">
        <v>521</v>
      </c>
      <c r="C6" s="4">
        <v>45</v>
      </c>
    </row>
    <row r="7" spans="1:3" x14ac:dyDescent="0.25">
      <c r="A7" s="3" t="s">
        <v>18</v>
      </c>
      <c r="B7" s="4">
        <v>634</v>
      </c>
      <c r="C7" s="4">
        <v>61</v>
      </c>
    </row>
    <row r="8" spans="1:3" x14ac:dyDescent="0.25">
      <c r="A8" s="3" t="s">
        <v>31</v>
      </c>
      <c r="B8" s="4">
        <v>538</v>
      </c>
      <c r="C8" s="4">
        <v>53</v>
      </c>
    </row>
    <row r="9" spans="1:3" x14ac:dyDescent="0.25">
      <c r="A9" s="3" t="s">
        <v>11</v>
      </c>
      <c r="B9" s="4">
        <v>429</v>
      </c>
      <c r="C9" s="4">
        <v>41</v>
      </c>
    </row>
    <row r="10" spans="1:3" x14ac:dyDescent="0.25">
      <c r="A10" s="3" t="s">
        <v>32</v>
      </c>
      <c r="B10" s="4">
        <v>445</v>
      </c>
      <c r="C10" s="4">
        <v>50</v>
      </c>
    </row>
    <row r="11" spans="1:3" x14ac:dyDescent="0.25">
      <c r="A11" s="3" t="s">
        <v>30</v>
      </c>
      <c r="B11" s="4">
        <v>446</v>
      </c>
      <c r="C11" s="4">
        <v>58</v>
      </c>
    </row>
    <row r="12" spans="1:3" x14ac:dyDescent="0.25">
      <c r="A12" s="3" t="s">
        <v>25</v>
      </c>
      <c r="B12" s="4">
        <v>482</v>
      </c>
      <c r="C12" s="4">
        <v>46</v>
      </c>
    </row>
    <row r="13" spans="1:3" x14ac:dyDescent="0.25">
      <c r="A13" s="3" t="s">
        <v>27</v>
      </c>
      <c r="B13" s="4">
        <v>564</v>
      </c>
      <c r="C13" s="4">
        <v>56</v>
      </c>
    </row>
    <row r="14" spans="1:3" x14ac:dyDescent="0.25">
      <c r="A14" s="3" t="s">
        <v>36</v>
      </c>
      <c r="B14" s="4">
        <v>4936</v>
      </c>
      <c r="C14" s="4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E2AF-82D5-4382-A4EF-9A1E267C21A0}">
  <dimension ref="A3:F9"/>
  <sheetViews>
    <sheetView workbookViewId="0">
      <selection activeCell="E5" sqref="E5"/>
    </sheetView>
  </sheetViews>
  <sheetFormatPr defaultRowHeight="15" x14ac:dyDescent="0.25"/>
  <cols>
    <col min="1" max="1" width="18.85546875" bestFit="1" customWidth="1"/>
    <col min="2" max="2" width="20.140625" bestFit="1" customWidth="1"/>
    <col min="3" max="6" width="14.42578125" bestFit="1" customWidth="1"/>
  </cols>
  <sheetData>
    <row r="3" spans="1:6" x14ac:dyDescent="0.25">
      <c r="A3" s="2" t="s">
        <v>37</v>
      </c>
      <c r="B3" s="2" t="s">
        <v>40</v>
      </c>
    </row>
    <row r="4" spans="1:6" x14ac:dyDescent="0.25">
      <c r="A4" s="2" t="s">
        <v>34</v>
      </c>
      <c r="B4">
        <v>1</v>
      </c>
      <c r="C4">
        <v>2</v>
      </c>
      <c r="D4">
        <v>3</v>
      </c>
      <c r="E4">
        <v>4</v>
      </c>
      <c r="F4" t="s">
        <v>36</v>
      </c>
    </row>
    <row r="5" spans="1:6" x14ac:dyDescent="0.25">
      <c r="A5" s="3" t="s">
        <v>23</v>
      </c>
      <c r="B5" s="8">
        <v>34720</v>
      </c>
      <c r="C5" s="8">
        <v>62804</v>
      </c>
      <c r="D5" s="8">
        <v>55520</v>
      </c>
      <c r="E5" s="8">
        <v>49336</v>
      </c>
      <c r="F5" s="8">
        <v>202380</v>
      </c>
    </row>
    <row r="6" spans="1:6" x14ac:dyDescent="0.25">
      <c r="A6" s="3" t="s">
        <v>12</v>
      </c>
      <c r="B6" s="8">
        <v>46210</v>
      </c>
      <c r="C6" s="8">
        <v>39563</v>
      </c>
      <c r="D6" s="8">
        <v>59118</v>
      </c>
      <c r="E6" s="8">
        <v>46914</v>
      </c>
      <c r="F6" s="8">
        <v>191805</v>
      </c>
    </row>
    <row r="7" spans="1:6" x14ac:dyDescent="0.25">
      <c r="A7" s="3" t="s">
        <v>19</v>
      </c>
      <c r="B7" s="8">
        <v>32880</v>
      </c>
      <c r="C7" s="8">
        <v>53421</v>
      </c>
      <c r="D7" s="8">
        <v>54427</v>
      </c>
      <c r="E7" s="8">
        <v>40498</v>
      </c>
      <c r="F7" s="8">
        <v>181226</v>
      </c>
    </row>
    <row r="8" spans="1:6" x14ac:dyDescent="0.25">
      <c r="A8" s="3" t="s">
        <v>35</v>
      </c>
      <c r="B8" s="8">
        <v>1287</v>
      </c>
      <c r="C8" s="8"/>
      <c r="D8" s="8"/>
      <c r="E8" s="8"/>
      <c r="F8" s="8">
        <v>1287</v>
      </c>
    </row>
    <row r="9" spans="1:6" x14ac:dyDescent="0.25">
      <c r="A9" s="3" t="s">
        <v>36</v>
      </c>
      <c r="B9" s="8">
        <v>115097</v>
      </c>
      <c r="C9" s="8">
        <v>155788</v>
      </c>
      <c r="D9" s="8">
        <v>169065</v>
      </c>
      <c r="E9" s="8">
        <v>136748</v>
      </c>
      <c r="F9" s="8">
        <v>576698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B2A2-F80C-40F9-B5A1-D98E455E8FCF}">
  <dimension ref="A3:B17"/>
  <sheetViews>
    <sheetView workbookViewId="0">
      <selection activeCell="A5" sqref="A5:B5"/>
    </sheetView>
  </sheetViews>
  <sheetFormatPr defaultRowHeight="15" x14ac:dyDescent="0.25"/>
  <cols>
    <col min="1" max="1" width="18.42578125" bestFit="1" customWidth="1"/>
    <col min="2" max="2" width="18.85546875" bestFit="1" customWidth="1"/>
  </cols>
  <sheetData>
    <row r="3" spans="1:2" x14ac:dyDescent="0.25">
      <c r="A3" s="2" t="s">
        <v>34</v>
      </c>
      <c r="B3" t="s">
        <v>37</v>
      </c>
    </row>
    <row r="4" spans="1:2" x14ac:dyDescent="0.25">
      <c r="A4" s="3" t="s">
        <v>54</v>
      </c>
      <c r="B4" s="8">
        <v>576698</v>
      </c>
    </row>
    <row r="5" spans="1:2" x14ac:dyDescent="0.25">
      <c r="A5" s="6" t="s">
        <v>49</v>
      </c>
      <c r="B5" s="8">
        <v>60269</v>
      </c>
    </row>
    <row r="6" spans="1:2" x14ac:dyDescent="0.25">
      <c r="A6" s="6" t="s">
        <v>46</v>
      </c>
      <c r="B6" s="8">
        <v>59152</v>
      </c>
    </row>
    <row r="7" spans="1:2" x14ac:dyDescent="0.25">
      <c r="A7" s="6" t="s">
        <v>45</v>
      </c>
      <c r="B7" s="8">
        <v>57904</v>
      </c>
    </row>
    <row r="8" spans="1:2" x14ac:dyDescent="0.25">
      <c r="A8" s="6" t="s">
        <v>50</v>
      </c>
      <c r="B8" s="8">
        <v>55550</v>
      </c>
    </row>
    <row r="9" spans="1:2" x14ac:dyDescent="0.25">
      <c r="A9" s="6" t="s">
        <v>53</v>
      </c>
      <c r="B9" s="8">
        <v>54821</v>
      </c>
    </row>
    <row r="10" spans="1:2" x14ac:dyDescent="0.25">
      <c r="A10" s="6" t="s">
        <v>48</v>
      </c>
      <c r="B10" s="8">
        <v>53246</v>
      </c>
    </row>
    <row r="11" spans="1:2" x14ac:dyDescent="0.25">
      <c r="A11" s="6" t="s">
        <v>43</v>
      </c>
      <c r="B11" s="8">
        <v>51079</v>
      </c>
    </row>
    <row r="12" spans="1:2" x14ac:dyDescent="0.25">
      <c r="A12" s="6" t="s">
        <v>52</v>
      </c>
      <c r="B12" s="8">
        <v>45387</v>
      </c>
    </row>
    <row r="13" spans="1:2" x14ac:dyDescent="0.25">
      <c r="A13" s="6" t="s">
        <v>47</v>
      </c>
      <c r="B13" s="8">
        <v>38732</v>
      </c>
    </row>
    <row r="14" spans="1:2" x14ac:dyDescent="0.25">
      <c r="A14" s="6" t="s">
        <v>51</v>
      </c>
      <c r="B14" s="8">
        <v>36540</v>
      </c>
    </row>
    <row r="15" spans="1:2" x14ac:dyDescent="0.25">
      <c r="A15" s="6" t="s">
        <v>42</v>
      </c>
      <c r="B15" s="8">
        <v>33607</v>
      </c>
    </row>
    <row r="16" spans="1:2" x14ac:dyDescent="0.25">
      <c r="A16" s="6" t="s">
        <v>44</v>
      </c>
      <c r="B16" s="8">
        <v>30411</v>
      </c>
    </row>
    <row r="17" spans="1:2" x14ac:dyDescent="0.25">
      <c r="A17" s="3" t="s">
        <v>36</v>
      </c>
      <c r="B17" s="8">
        <v>576698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BFA0-A733-4093-90BA-A00668C47230}">
  <dimension ref="A3:H9"/>
  <sheetViews>
    <sheetView workbookViewId="0">
      <selection activeCell="A3" sqref="A3:H9"/>
    </sheetView>
  </sheetViews>
  <sheetFormatPr defaultRowHeight="15" x14ac:dyDescent="0.25"/>
  <cols>
    <col min="1" max="1" width="26.42578125" bestFit="1" customWidth="1"/>
    <col min="2" max="2" width="20.140625" bestFit="1" customWidth="1"/>
    <col min="3" max="3" width="13.42578125" bestFit="1" customWidth="1"/>
    <col min="4" max="9" width="14.42578125" bestFit="1" customWidth="1"/>
  </cols>
  <sheetData>
    <row r="3" spans="1:8" x14ac:dyDescent="0.25">
      <c r="A3" s="2" t="s">
        <v>37</v>
      </c>
      <c r="B3" s="2" t="s">
        <v>40</v>
      </c>
    </row>
    <row r="4" spans="1:8" x14ac:dyDescent="0.25">
      <c r="A4" s="2" t="s">
        <v>34</v>
      </c>
      <c r="B4" t="s">
        <v>21</v>
      </c>
      <c r="C4" t="s">
        <v>17</v>
      </c>
      <c r="D4" t="s">
        <v>14</v>
      </c>
      <c r="E4" t="s">
        <v>29</v>
      </c>
      <c r="F4" t="s">
        <v>26</v>
      </c>
      <c r="G4" t="s">
        <v>35</v>
      </c>
      <c r="H4" t="s">
        <v>36</v>
      </c>
    </row>
    <row r="5" spans="1:8" x14ac:dyDescent="0.25">
      <c r="A5" s="3" t="s">
        <v>23</v>
      </c>
      <c r="B5" s="8">
        <v>48414</v>
      </c>
      <c r="C5" s="8">
        <v>22428</v>
      </c>
      <c r="D5" s="8">
        <v>39516</v>
      </c>
      <c r="E5" s="8">
        <v>53677</v>
      </c>
      <c r="F5" s="8">
        <v>37337</v>
      </c>
      <c r="G5" s="8">
        <v>1008</v>
      </c>
      <c r="H5" s="8">
        <v>202380</v>
      </c>
    </row>
    <row r="6" spans="1:8" x14ac:dyDescent="0.25">
      <c r="A6" s="3" t="s">
        <v>12</v>
      </c>
      <c r="B6" s="8">
        <v>39137</v>
      </c>
      <c r="C6" s="8">
        <v>25749</v>
      </c>
      <c r="D6" s="8">
        <v>36052</v>
      </c>
      <c r="E6" s="8">
        <v>36554</v>
      </c>
      <c r="F6" s="8">
        <v>54313</v>
      </c>
      <c r="G6" s="8"/>
      <c r="H6" s="8">
        <v>191805</v>
      </c>
    </row>
    <row r="7" spans="1:8" x14ac:dyDescent="0.25">
      <c r="A7" s="3" t="s">
        <v>19</v>
      </c>
      <c r="B7" s="8">
        <v>39909</v>
      </c>
      <c r="C7" s="8">
        <v>28744</v>
      </c>
      <c r="D7" s="8">
        <v>41639</v>
      </c>
      <c r="E7" s="8">
        <v>37742</v>
      </c>
      <c r="F7" s="8">
        <v>33192</v>
      </c>
      <c r="G7" s="8"/>
      <c r="H7" s="8">
        <v>181226</v>
      </c>
    </row>
    <row r="8" spans="1:8" x14ac:dyDescent="0.25">
      <c r="A8" s="3" t="s">
        <v>35</v>
      </c>
      <c r="B8" s="8"/>
      <c r="C8" s="8"/>
      <c r="D8" s="8"/>
      <c r="E8" s="8"/>
      <c r="F8" s="8">
        <v>1287</v>
      </c>
      <c r="G8" s="8"/>
      <c r="H8" s="8">
        <v>1287</v>
      </c>
    </row>
    <row r="9" spans="1:8" x14ac:dyDescent="0.25">
      <c r="A9" s="3" t="s">
        <v>36</v>
      </c>
      <c r="B9" s="8">
        <v>127460</v>
      </c>
      <c r="C9" s="8">
        <v>76921</v>
      </c>
      <c r="D9" s="8">
        <v>117207</v>
      </c>
      <c r="E9" s="8">
        <v>127973</v>
      </c>
      <c r="F9" s="8">
        <v>126129</v>
      </c>
      <c r="G9" s="8">
        <v>1008</v>
      </c>
      <c r="H9" s="8">
        <v>576698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9334-448E-4ECA-9A62-FB64F053BD24}">
  <dimension ref="A3:H9"/>
  <sheetViews>
    <sheetView tabSelected="1" workbookViewId="0">
      <selection activeCell="A3" sqref="A3:H9"/>
    </sheetView>
  </sheetViews>
  <sheetFormatPr defaultRowHeight="15" x14ac:dyDescent="0.25"/>
  <cols>
    <col min="1" max="1" width="26.42578125" bestFit="1" customWidth="1"/>
    <col min="2" max="2" width="20.140625" bestFit="1" customWidth="1"/>
    <col min="3" max="3" width="13.42578125" bestFit="1" customWidth="1"/>
    <col min="4" max="9" width="14.42578125" bestFit="1" customWidth="1"/>
  </cols>
  <sheetData>
    <row r="3" spans="1:8" x14ac:dyDescent="0.25">
      <c r="A3" s="2" t="s">
        <v>61</v>
      </c>
      <c r="B3" s="2" t="s">
        <v>40</v>
      </c>
    </row>
    <row r="4" spans="1:8" x14ac:dyDescent="0.25">
      <c r="A4" s="2" t="s">
        <v>34</v>
      </c>
      <c r="B4" t="s">
        <v>21</v>
      </c>
      <c r="C4" t="s">
        <v>17</v>
      </c>
      <c r="D4" t="s">
        <v>14</v>
      </c>
      <c r="E4" t="s">
        <v>29</v>
      </c>
      <c r="F4" t="s">
        <v>26</v>
      </c>
      <c r="G4" t="s">
        <v>60</v>
      </c>
      <c r="H4" t="s">
        <v>36</v>
      </c>
    </row>
    <row r="5" spans="1:8" x14ac:dyDescent="0.25">
      <c r="A5" s="3" t="s">
        <v>23</v>
      </c>
      <c r="B5" s="8">
        <v>48414</v>
      </c>
      <c r="C5" s="8">
        <v>22428</v>
      </c>
      <c r="D5" s="8">
        <v>39516</v>
      </c>
      <c r="E5" s="8">
        <v>53677</v>
      </c>
      <c r="F5" s="8">
        <v>39257.5</v>
      </c>
      <c r="G5" s="8">
        <v>1008</v>
      </c>
      <c r="H5" s="8">
        <v>204300.5</v>
      </c>
    </row>
    <row r="6" spans="1:8" x14ac:dyDescent="0.25">
      <c r="A6" s="3" t="s">
        <v>12</v>
      </c>
      <c r="B6" s="8">
        <v>39137</v>
      </c>
      <c r="C6" s="8">
        <v>25749</v>
      </c>
      <c r="D6" s="8">
        <v>36052</v>
      </c>
      <c r="E6" s="8">
        <v>36554</v>
      </c>
      <c r="F6" s="8">
        <v>54313</v>
      </c>
      <c r="G6" s="8"/>
      <c r="H6" s="8">
        <v>191805</v>
      </c>
    </row>
    <row r="7" spans="1:8" x14ac:dyDescent="0.25">
      <c r="A7" s="3" t="s">
        <v>19</v>
      </c>
      <c r="B7" s="8">
        <v>39909</v>
      </c>
      <c r="C7" s="8">
        <v>28744</v>
      </c>
      <c r="D7" s="8">
        <v>41639</v>
      </c>
      <c r="E7" s="8">
        <v>37742</v>
      </c>
      <c r="F7" s="8">
        <v>33192</v>
      </c>
      <c r="G7" s="8"/>
      <c r="H7" s="8">
        <v>181226</v>
      </c>
    </row>
    <row r="8" spans="1:8" x14ac:dyDescent="0.25">
      <c r="A8" s="3" t="s">
        <v>59</v>
      </c>
      <c r="B8" s="8"/>
      <c r="C8" s="8"/>
      <c r="D8" s="8"/>
      <c r="E8" s="8"/>
      <c r="F8" s="8">
        <v>1287</v>
      </c>
      <c r="G8" s="8"/>
      <c r="H8" s="8">
        <v>1287</v>
      </c>
    </row>
    <row r="9" spans="1:8" x14ac:dyDescent="0.25">
      <c r="A9" s="3" t="s">
        <v>36</v>
      </c>
      <c r="B9" s="8">
        <v>127460</v>
      </c>
      <c r="C9" s="8">
        <v>76921</v>
      </c>
      <c r="D9" s="8">
        <v>117207</v>
      </c>
      <c r="E9" s="8">
        <v>127973</v>
      </c>
      <c r="F9" s="8">
        <v>128049.5</v>
      </c>
      <c r="G9" s="8">
        <v>1008</v>
      </c>
      <c r="H9" s="8">
        <v>578618.5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E6A9-A668-43A3-99B4-2565E97F03FD}">
  <dimension ref="A1:N501"/>
  <sheetViews>
    <sheetView topLeftCell="A103" workbookViewId="0">
      <selection activeCell="A103" sqref="A1:N1048576"/>
    </sheetView>
  </sheetViews>
  <sheetFormatPr defaultRowHeight="15" x14ac:dyDescent="0.25"/>
  <cols>
    <col min="1" max="1" width="10.42578125" bestFit="1" customWidth="1"/>
    <col min="4" max="4" width="11.5703125" customWidth="1"/>
    <col min="5" max="5" width="10.28515625" customWidth="1"/>
    <col min="6" max="6" width="11.42578125" customWidth="1"/>
    <col min="7" max="7" width="11.7109375" customWidth="1"/>
    <col min="9" max="9" width="13.28515625" customWidth="1"/>
    <col min="10" max="10" width="16.140625" customWidth="1"/>
    <col min="11" max="11" width="12.5703125" customWidth="1"/>
    <col min="12" max="12" width="16.140625" bestFit="1" customWidth="1"/>
    <col min="13" max="13" width="18.85546875" bestFit="1" customWidth="1"/>
    <col min="14" max="14" width="20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56</v>
      </c>
      <c r="M1" t="s">
        <v>57</v>
      </c>
      <c r="N1" t="s">
        <v>58</v>
      </c>
    </row>
    <row r="2" spans="1:14" x14ac:dyDescent="0.25">
      <c r="A2" s="1">
        <v>45394</v>
      </c>
      <c r="B2">
        <v>2024</v>
      </c>
      <c r="C2">
        <v>4</v>
      </c>
      <c r="D2">
        <v>2</v>
      </c>
      <c r="E2" t="s">
        <v>11</v>
      </c>
      <c r="F2" t="s">
        <v>12</v>
      </c>
      <c r="G2" t="s">
        <v>13</v>
      </c>
      <c r="H2" t="s">
        <v>14</v>
      </c>
      <c r="I2">
        <v>3</v>
      </c>
      <c r="J2">
        <v>113</v>
      </c>
      <c r="K2">
        <v>339</v>
      </c>
      <c r="L2" t="str">
        <f>IF(tblVendas[[#This Row],[regiao]]="", "Não informado", tblVendas[[#This Row],[regiao]])</f>
        <v>Norte</v>
      </c>
      <c r="M2" t="str">
        <f>IF(tblVendas[[#This Row],[categoria]]="", "Outros", tblVendas[[#This Row],[categoria]])</f>
        <v>Calçados</v>
      </c>
      <c r="N2">
        <f>IF(tblVendas[[#This Row],[valor_total]]&lt;0, MEDIAN(tblVendas[valor_total]), tblVendas[[#This Row],[valor_total]])</f>
        <v>339</v>
      </c>
    </row>
    <row r="3" spans="1:14" x14ac:dyDescent="0.25">
      <c r="A3" s="1">
        <v>45640</v>
      </c>
      <c r="B3">
        <v>2024</v>
      </c>
      <c r="C3">
        <v>12</v>
      </c>
      <c r="D3">
        <v>4</v>
      </c>
      <c r="E3" t="s">
        <v>15</v>
      </c>
      <c r="F3" t="s">
        <v>12</v>
      </c>
      <c r="G3" t="s">
        <v>16</v>
      </c>
      <c r="H3" t="s">
        <v>17</v>
      </c>
      <c r="I3">
        <v>7</v>
      </c>
      <c r="J3">
        <v>85</v>
      </c>
      <c r="K3">
        <v>595</v>
      </c>
      <c r="L3" t="str">
        <f>IF(tblVendas[[#This Row],[regiao]]="", "Não informado", tblVendas[[#This Row],[regiao]])</f>
        <v>Leste</v>
      </c>
      <c r="M3" t="str">
        <f>IF(tblVendas[[#This Row],[categoria]]="", "Outros", tblVendas[[#This Row],[categoria]])</f>
        <v>Calçados</v>
      </c>
      <c r="N3">
        <f>IF(tblVendas[[#This Row],[valor_total]]&lt;0, MEDIAN(tblVendas[valor_total]), tblVendas[[#This Row],[valor_total]])</f>
        <v>595</v>
      </c>
    </row>
    <row r="4" spans="1:14" x14ac:dyDescent="0.25">
      <c r="A4" s="1">
        <v>45562</v>
      </c>
      <c r="B4">
        <v>2024</v>
      </c>
      <c r="C4">
        <v>9</v>
      </c>
      <c r="D4">
        <v>3</v>
      </c>
      <c r="E4" t="s">
        <v>18</v>
      </c>
      <c r="F4" t="s">
        <v>19</v>
      </c>
      <c r="G4" t="s">
        <v>20</v>
      </c>
      <c r="H4" t="s">
        <v>21</v>
      </c>
      <c r="I4">
        <v>17</v>
      </c>
      <c r="J4">
        <v>170</v>
      </c>
      <c r="K4">
        <v>2890</v>
      </c>
      <c r="L4" t="str">
        <f>IF(tblVendas[[#This Row],[regiao]]="", "Não informado", tblVendas[[#This Row],[regiao]])</f>
        <v>Centro-Oeste</v>
      </c>
      <c r="M4" t="str">
        <f>IF(tblVendas[[#This Row],[categoria]]="", "Outros", tblVendas[[#This Row],[categoria]])</f>
        <v>Vestuário</v>
      </c>
      <c r="N4">
        <f>IF(tblVendas[[#This Row],[valor_total]]&lt;0, MEDIAN(tblVendas[valor_total]), tblVendas[[#This Row],[valor_total]])</f>
        <v>2890</v>
      </c>
    </row>
    <row r="5" spans="1:14" x14ac:dyDescent="0.25">
      <c r="A5" s="1">
        <v>45398</v>
      </c>
      <c r="B5">
        <v>2024</v>
      </c>
      <c r="C5">
        <v>4</v>
      </c>
      <c r="D5">
        <v>2</v>
      </c>
      <c r="E5" t="s">
        <v>22</v>
      </c>
      <c r="F5" t="s">
        <v>23</v>
      </c>
      <c r="G5" t="s">
        <v>24</v>
      </c>
      <c r="H5" t="s">
        <v>21</v>
      </c>
      <c r="I5">
        <v>12</v>
      </c>
      <c r="J5">
        <v>78</v>
      </c>
      <c r="K5">
        <v>936</v>
      </c>
      <c r="L5" t="str">
        <f>IF(tblVendas[[#This Row],[regiao]]="", "Não informado", tblVendas[[#This Row],[regiao]])</f>
        <v>Centro-Oeste</v>
      </c>
      <c r="M5" t="str">
        <f>IF(tblVendas[[#This Row],[categoria]]="", "Outros", tblVendas[[#This Row],[categoria]])</f>
        <v>Acessórios</v>
      </c>
      <c r="N5">
        <f>IF(tblVendas[[#This Row],[valor_total]]&lt;0, MEDIAN(tblVendas[valor_total]), tblVendas[[#This Row],[valor_total]])</f>
        <v>936</v>
      </c>
    </row>
    <row r="6" spans="1:14" x14ac:dyDescent="0.25">
      <c r="A6" s="1">
        <v>45363</v>
      </c>
      <c r="B6">
        <v>2024</v>
      </c>
      <c r="C6">
        <v>3</v>
      </c>
      <c r="D6">
        <v>1</v>
      </c>
      <c r="E6" t="s">
        <v>25</v>
      </c>
      <c r="F6" t="s">
        <v>23</v>
      </c>
      <c r="G6" t="s">
        <v>20</v>
      </c>
      <c r="H6" t="s">
        <v>14</v>
      </c>
      <c r="I6">
        <v>9</v>
      </c>
      <c r="J6">
        <v>75</v>
      </c>
      <c r="K6">
        <v>675</v>
      </c>
      <c r="L6" t="str">
        <f>IF(tblVendas[[#This Row],[regiao]]="", "Não informado", tblVendas[[#This Row],[regiao]])</f>
        <v>Norte</v>
      </c>
      <c r="M6" t="str">
        <f>IF(tblVendas[[#This Row],[categoria]]="", "Outros", tblVendas[[#This Row],[categoria]])</f>
        <v>Acessórios</v>
      </c>
      <c r="N6">
        <f>IF(tblVendas[[#This Row],[valor_total]]&lt;0, MEDIAN(tblVendas[valor_total]), tblVendas[[#This Row],[valor_total]])</f>
        <v>675</v>
      </c>
    </row>
    <row r="7" spans="1:14" x14ac:dyDescent="0.25">
      <c r="A7" s="1">
        <v>45480</v>
      </c>
      <c r="B7">
        <v>2024</v>
      </c>
      <c r="C7">
        <v>7</v>
      </c>
      <c r="D7">
        <v>3</v>
      </c>
      <c r="E7" t="s">
        <v>15</v>
      </c>
      <c r="F7" t="s">
        <v>23</v>
      </c>
      <c r="G7" t="s">
        <v>16</v>
      </c>
      <c r="H7" t="s">
        <v>26</v>
      </c>
      <c r="I7">
        <v>15</v>
      </c>
      <c r="J7">
        <v>142</v>
      </c>
      <c r="K7">
        <v>2130</v>
      </c>
      <c r="L7" t="str">
        <f>IF(tblVendas[[#This Row],[regiao]]="", "Não informado", tblVendas[[#This Row],[regiao]])</f>
        <v>Sul</v>
      </c>
      <c r="M7" t="str">
        <f>IF(tblVendas[[#This Row],[categoria]]="", "Outros", tblVendas[[#This Row],[categoria]])</f>
        <v>Acessórios</v>
      </c>
      <c r="N7">
        <f>IF(tblVendas[[#This Row],[valor_total]]&lt;0, MEDIAN(tblVendas[valor_total]), tblVendas[[#This Row],[valor_total]])</f>
        <v>2130</v>
      </c>
    </row>
    <row r="8" spans="1:14" x14ac:dyDescent="0.25">
      <c r="A8" s="1">
        <v>45312</v>
      </c>
      <c r="B8">
        <v>2024</v>
      </c>
      <c r="C8">
        <v>1</v>
      </c>
      <c r="D8">
        <v>1</v>
      </c>
      <c r="E8" t="s">
        <v>27</v>
      </c>
      <c r="F8" t="s">
        <v>12</v>
      </c>
      <c r="G8" t="s">
        <v>28</v>
      </c>
      <c r="H8" t="s">
        <v>29</v>
      </c>
      <c r="I8">
        <v>18</v>
      </c>
      <c r="J8">
        <v>165</v>
      </c>
      <c r="K8">
        <v>2970</v>
      </c>
      <c r="L8" t="str">
        <f>IF(tblVendas[[#This Row],[regiao]]="", "Não informado", tblVendas[[#This Row],[regiao]])</f>
        <v>Oeste</v>
      </c>
      <c r="M8" t="str">
        <f>IF(tblVendas[[#This Row],[categoria]]="", "Outros", tblVendas[[#This Row],[categoria]])</f>
        <v>Calçados</v>
      </c>
      <c r="N8">
        <f>IF(tblVendas[[#This Row],[valor_total]]&lt;0, MEDIAN(tblVendas[valor_total]), tblVendas[[#This Row],[valor_total]])</f>
        <v>2970</v>
      </c>
    </row>
    <row r="9" spans="1:14" x14ac:dyDescent="0.25">
      <c r="A9" s="1">
        <v>45394</v>
      </c>
      <c r="B9">
        <v>2024</v>
      </c>
      <c r="C9">
        <v>4</v>
      </c>
      <c r="D9">
        <v>2</v>
      </c>
      <c r="E9" t="s">
        <v>18</v>
      </c>
      <c r="F9" t="s">
        <v>12</v>
      </c>
      <c r="G9" t="s">
        <v>28</v>
      </c>
      <c r="H9" t="s">
        <v>26</v>
      </c>
      <c r="I9">
        <v>13</v>
      </c>
      <c r="J9">
        <v>72</v>
      </c>
      <c r="K9">
        <v>936</v>
      </c>
      <c r="L9" t="str">
        <f>IF(tblVendas[[#This Row],[regiao]]="", "Não informado", tblVendas[[#This Row],[regiao]])</f>
        <v>Sul</v>
      </c>
      <c r="M9" t="str">
        <f>IF(tblVendas[[#This Row],[categoria]]="", "Outros", tblVendas[[#This Row],[categoria]])</f>
        <v>Calçados</v>
      </c>
      <c r="N9">
        <f>IF(tblVendas[[#This Row],[valor_total]]&lt;0, MEDIAN(tblVendas[valor_total]), tblVendas[[#This Row],[valor_total]])</f>
        <v>936</v>
      </c>
    </row>
    <row r="10" spans="1:14" x14ac:dyDescent="0.25">
      <c r="A10" s="1">
        <v>45413</v>
      </c>
      <c r="B10">
        <v>2024</v>
      </c>
      <c r="C10">
        <v>5</v>
      </c>
      <c r="D10">
        <v>2</v>
      </c>
      <c r="E10" t="s">
        <v>18</v>
      </c>
      <c r="F10" t="s">
        <v>23</v>
      </c>
      <c r="G10" t="s">
        <v>16</v>
      </c>
      <c r="H10" t="s">
        <v>26</v>
      </c>
      <c r="I10">
        <v>8</v>
      </c>
      <c r="J10">
        <v>177</v>
      </c>
      <c r="K10">
        <v>1416</v>
      </c>
      <c r="L10" t="str">
        <f>IF(tblVendas[[#This Row],[regiao]]="", "Não informado", tblVendas[[#This Row],[regiao]])</f>
        <v>Sul</v>
      </c>
      <c r="M10" t="str">
        <f>IF(tblVendas[[#This Row],[categoria]]="", "Outros", tblVendas[[#This Row],[categoria]])</f>
        <v>Acessórios</v>
      </c>
      <c r="N10">
        <f>IF(tblVendas[[#This Row],[valor_total]]&lt;0, MEDIAN(tblVendas[valor_total]), tblVendas[[#This Row],[valor_total]])</f>
        <v>1416</v>
      </c>
    </row>
    <row r="11" spans="1:14" x14ac:dyDescent="0.25">
      <c r="A11" s="1">
        <v>45506</v>
      </c>
      <c r="B11">
        <v>2024</v>
      </c>
      <c r="C11">
        <v>8</v>
      </c>
      <c r="D11">
        <v>3</v>
      </c>
      <c r="E11" t="s">
        <v>27</v>
      </c>
      <c r="F11" t="s">
        <v>23</v>
      </c>
      <c r="G11" t="s">
        <v>28</v>
      </c>
      <c r="H11" t="s">
        <v>14</v>
      </c>
      <c r="I11">
        <v>14</v>
      </c>
      <c r="J11">
        <v>153</v>
      </c>
      <c r="K11">
        <v>2142</v>
      </c>
      <c r="L11" t="str">
        <f>IF(tblVendas[[#This Row],[regiao]]="", "Não informado", tblVendas[[#This Row],[regiao]])</f>
        <v>Norte</v>
      </c>
      <c r="M11" t="str">
        <f>IF(tblVendas[[#This Row],[categoria]]="", "Outros", tblVendas[[#This Row],[categoria]])</f>
        <v>Acessórios</v>
      </c>
      <c r="N11">
        <f>IF(tblVendas[[#This Row],[valor_total]]&lt;0, MEDIAN(tblVendas[valor_total]), tblVendas[[#This Row],[valor_total]])</f>
        <v>2142</v>
      </c>
    </row>
    <row r="12" spans="1:14" x14ac:dyDescent="0.25">
      <c r="A12" s="1">
        <v>45622</v>
      </c>
      <c r="B12">
        <v>2024</v>
      </c>
      <c r="C12">
        <v>11</v>
      </c>
      <c r="D12">
        <v>4</v>
      </c>
      <c r="E12" t="s">
        <v>30</v>
      </c>
      <c r="F12" t="s">
        <v>23</v>
      </c>
      <c r="G12" t="s">
        <v>28</v>
      </c>
      <c r="I12">
        <v>8</v>
      </c>
      <c r="J12">
        <v>126</v>
      </c>
      <c r="K12">
        <v>1008</v>
      </c>
      <c r="L12" t="str">
        <f>IF(tblVendas[[#This Row],[regiao]]="", "Não informado", tblVendas[[#This Row],[regiao]])</f>
        <v>Não informado</v>
      </c>
      <c r="M12" t="str">
        <f>IF(tblVendas[[#This Row],[categoria]]="", "Outros", tblVendas[[#This Row],[categoria]])</f>
        <v>Acessórios</v>
      </c>
      <c r="N12">
        <f>IF(tblVendas[[#This Row],[valor_total]]&lt;0, MEDIAN(tblVendas[valor_total]), tblVendas[[#This Row],[valor_total]])</f>
        <v>1008</v>
      </c>
    </row>
    <row r="13" spans="1:14" x14ac:dyDescent="0.25">
      <c r="A13" s="1">
        <v>45379</v>
      </c>
      <c r="B13">
        <v>2024</v>
      </c>
      <c r="C13">
        <v>3</v>
      </c>
      <c r="D13">
        <v>1</v>
      </c>
      <c r="E13" t="s">
        <v>27</v>
      </c>
      <c r="F13" t="s">
        <v>12</v>
      </c>
      <c r="G13" t="s">
        <v>28</v>
      </c>
      <c r="H13" t="s">
        <v>14</v>
      </c>
      <c r="I13">
        <v>14</v>
      </c>
      <c r="J13">
        <v>119</v>
      </c>
      <c r="K13">
        <v>1666</v>
      </c>
      <c r="L13" t="str">
        <f>IF(tblVendas[[#This Row],[regiao]]="", "Não informado", tblVendas[[#This Row],[regiao]])</f>
        <v>Norte</v>
      </c>
      <c r="M13" t="str">
        <f>IF(tblVendas[[#This Row],[categoria]]="", "Outros", tblVendas[[#This Row],[categoria]])</f>
        <v>Calçados</v>
      </c>
      <c r="N13">
        <f>IF(tblVendas[[#This Row],[valor_total]]&lt;0, MEDIAN(tblVendas[valor_total]), tblVendas[[#This Row],[valor_total]])</f>
        <v>1666</v>
      </c>
    </row>
    <row r="14" spans="1:14" x14ac:dyDescent="0.25">
      <c r="A14" s="1">
        <v>45391</v>
      </c>
      <c r="B14">
        <v>2024</v>
      </c>
      <c r="C14">
        <v>4</v>
      </c>
      <c r="D14">
        <v>2</v>
      </c>
      <c r="E14" t="s">
        <v>18</v>
      </c>
      <c r="F14" t="s">
        <v>23</v>
      </c>
      <c r="G14" t="s">
        <v>24</v>
      </c>
      <c r="H14" t="s">
        <v>14</v>
      </c>
      <c r="I14">
        <v>7</v>
      </c>
      <c r="J14">
        <v>68</v>
      </c>
      <c r="K14">
        <v>476</v>
      </c>
      <c r="L14" t="str">
        <f>IF(tblVendas[[#This Row],[regiao]]="", "Não informado", tblVendas[[#This Row],[regiao]])</f>
        <v>Norte</v>
      </c>
      <c r="M14" t="str">
        <f>IF(tblVendas[[#This Row],[categoria]]="", "Outros", tblVendas[[#This Row],[categoria]])</f>
        <v>Acessórios</v>
      </c>
      <c r="N14">
        <f>IF(tblVendas[[#This Row],[valor_total]]&lt;0, MEDIAN(tblVendas[valor_total]), tblVendas[[#This Row],[valor_total]])</f>
        <v>476</v>
      </c>
    </row>
    <row r="15" spans="1:14" x14ac:dyDescent="0.25">
      <c r="A15" s="1">
        <v>45651</v>
      </c>
      <c r="B15">
        <v>2024</v>
      </c>
      <c r="C15">
        <v>12</v>
      </c>
      <c r="D15">
        <v>4</v>
      </c>
      <c r="E15" t="s">
        <v>18</v>
      </c>
      <c r="F15" t="s">
        <v>23</v>
      </c>
      <c r="G15" t="s">
        <v>24</v>
      </c>
      <c r="H15" t="s">
        <v>21</v>
      </c>
      <c r="I15">
        <v>12</v>
      </c>
      <c r="J15">
        <v>114</v>
      </c>
      <c r="K15">
        <v>1368</v>
      </c>
      <c r="L15" t="str">
        <f>IF(tblVendas[[#This Row],[regiao]]="", "Não informado", tblVendas[[#This Row],[regiao]])</f>
        <v>Centro-Oeste</v>
      </c>
      <c r="M15" t="str">
        <f>IF(tblVendas[[#This Row],[categoria]]="", "Outros", tblVendas[[#This Row],[categoria]])</f>
        <v>Acessórios</v>
      </c>
      <c r="N15">
        <f>IF(tblVendas[[#This Row],[valor_total]]&lt;0, MEDIAN(tblVendas[valor_total]), tblVendas[[#This Row],[valor_total]])</f>
        <v>1368</v>
      </c>
    </row>
    <row r="16" spans="1:14" x14ac:dyDescent="0.25">
      <c r="A16" s="1">
        <v>45443</v>
      </c>
      <c r="B16">
        <v>2024</v>
      </c>
      <c r="C16">
        <v>5</v>
      </c>
      <c r="D16">
        <v>2</v>
      </c>
      <c r="E16" t="s">
        <v>25</v>
      </c>
      <c r="F16" t="s">
        <v>19</v>
      </c>
      <c r="G16" t="s">
        <v>13</v>
      </c>
      <c r="H16" t="s">
        <v>14</v>
      </c>
      <c r="I16">
        <v>11</v>
      </c>
      <c r="J16">
        <v>91</v>
      </c>
      <c r="K16">
        <v>1001</v>
      </c>
      <c r="L16" t="str">
        <f>IF(tblVendas[[#This Row],[regiao]]="", "Não informado", tblVendas[[#This Row],[regiao]])</f>
        <v>Norte</v>
      </c>
      <c r="M16" t="str">
        <f>IF(tblVendas[[#This Row],[categoria]]="", "Outros", tblVendas[[#This Row],[categoria]])</f>
        <v>Vestuário</v>
      </c>
      <c r="N16">
        <f>IF(tblVendas[[#This Row],[valor_total]]&lt;0, MEDIAN(tblVendas[valor_total]), tblVendas[[#This Row],[valor_total]])</f>
        <v>1001</v>
      </c>
    </row>
    <row r="17" spans="1:14" x14ac:dyDescent="0.25">
      <c r="A17" s="1">
        <v>45422</v>
      </c>
      <c r="B17">
        <v>2024</v>
      </c>
      <c r="C17">
        <v>5</v>
      </c>
      <c r="D17">
        <v>2</v>
      </c>
      <c r="E17" t="s">
        <v>31</v>
      </c>
      <c r="F17" t="s">
        <v>19</v>
      </c>
      <c r="G17" t="s">
        <v>20</v>
      </c>
      <c r="H17" t="s">
        <v>21</v>
      </c>
      <c r="I17">
        <v>11</v>
      </c>
      <c r="J17">
        <v>135</v>
      </c>
      <c r="K17">
        <v>1485</v>
      </c>
      <c r="L17" t="str">
        <f>IF(tblVendas[[#This Row],[regiao]]="", "Não informado", tblVendas[[#This Row],[regiao]])</f>
        <v>Centro-Oeste</v>
      </c>
      <c r="M17" t="str">
        <f>IF(tblVendas[[#This Row],[categoria]]="", "Outros", tblVendas[[#This Row],[categoria]])</f>
        <v>Vestuário</v>
      </c>
      <c r="N17">
        <f>IF(tblVendas[[#This Row],[valor_total]]&lt;0, MEDIAN(tblVendas[valor_total]), tblVendas[[#This Row],[valor_total]])</f>
        <v>1485</v>
      </c>
    </row>
    <row r="18" spans="1:14" x14ac:dyDescent="0.25">
      <c r="A18" s="1">
        <v>45441</v>
      </c>
      <c r="B18">
        <v>2024</v>
      </c>
      <c r="C18">
        <v>5</v>
      </c>
      <c r="D18">
        <v>2</v>
      </c>
      <c r="E18" t="s">
        <v>15</v>
      </c>
      <c r="F18" t="s">
        <v>12</v>
      </c>
      <c r="G18" t="s">
        <v>16</v>
      </c>
      <c r="H18" t="s">
        <v>21</v>
      </c>
      <c r="I18">
        <v>13</v>
      </c>
      <c r="J18">
        <v>136</v>
      </c>
      <c r="K18">
        <v>1768</v>
      </c>
      <c r="L18" t="str">
        <f>IF(tblVendas[[#This Row],[regiao]]="", "Não informado", tblVendas[[#This Row],[regiao]])</f>
        <v>Centro-Oeste</v>
      </c>
      <c r="M18" t="str">
        <f>IF(tblVendas[[#This Row],[categoria]]="", "Outros", tblVendas[[#This Row],[categoria]])</f>
        <v>Calçados</v>
      </c>
      <c r="N18">
        <f>IF(tblVendas[[#This Row],[valor_total]]&lt;0, MEDIAN(tblVendas[valor_total]), tblVendas[[#This Row],[valor_total]])</f>
        <v>1768</v>
      </c>
    </row>
    <row r="19" spans="1:14" x14ac:dyDescent="0.25">
      <c r="A19" s="1">
        <v>45600</v>
      </c>
      <c r="B19">
        <v>2024</v>
      </c>
      <c r="C19">
        <v>11</v>
      </c>
      <c r="D19">
        <v>4</v>
      </c>
      <c r="E19" t="s">
        <v>27</v>
      </c>
      <c r="F19" t="s">
        <v>23</v>
      </c>
      <c r="G19" t="s">
        <v>16</v>
      </c>
      <c r="H19" t="s">
        <v>14</v>
      </c>
      <c r="I19">
        <v>18</v>
      </c>
      <c r="J19">
        <v>83</v>
      </c>
      <c r="K19">
        <v>1494</v>
      </c>
      <c r="L19" t="str">
        <f>IF(tblVendas[[#This Row],[regiao]]="", "Não informado", tblVendas[[#This Row],[regiao]])</f>
        <v>Norte</v>
      </c>
      <c r="M19" t="str">
        <f>IF(tblVendas[[#This Row],[categoria]]="", "Outros", tblVendas[[#This Row],[categoria]])</f>
        <v>Acessórios</v>
      </c>
      <c r="N19">
        <f>IF(tblVendas[[#This Row],[valor_total]]&lt;0, MEDIAN(tblVendas[valor_total]), tblVendas[[#This Row],[valor_total]])</f>
        <v>1494</v>
      </c>
    </row>
    <row r="20" spans="1:14" x14ac:dyDescent="0.25">
      <c r="A20" s="1">
        <v>45549</v>
      </c>
      <c r="B20">
        <v>2024</v>
      </c>
      <c r="C20">
        <v>9</v>
      </c>
      <c r="D20">
        <v>3</v>
      </c>
      <c r="E20" t="s">
        <v>15</v>
      </c>
      <c r="F20" t="s">
        <v>23</v>
      </c>
      <c r="G20" t="s">
        <v>16</v>
      </c>
      <c r="H20" t="s">
        <v>17</v>
      </c>
      <c r="I20">
        <v>2</v>
      </c>
      <c r="J20">
        <v>155</v>
      </c>
      <c r="K20">
        <v>310</v>
      </c>
      <c r="L20" t="str">
        <f>IF(tblVendas[[#This Row],[regiao]]="", "Não informado", tblVendas[[#This Row],[regiao]])</f>
        <v>Leste</v>
      </c>
      <c r="M20" t="str">
        <f>IF(tblVendas[[#This Row],[categoria]]="", "Outros", tblVendas[[#This Row],[categoria]])</f>
        <v>Acessórios</v>
      </c>
      <c r="N20">
        <f>IF(tblVendas[[#This Row],[valor_total]]&lt;0, MEDIAN(tblVendas[valor_total]), tblVendas[[#This Row],[valor_total]])</f>
        <v>310</v>
      </c>
    </row>
    <row r="21" spans="1:14" x14ac:dyDescent="0.25">
      <c r="A21" s="1">
        <v>45635</v>
      </c>
      <c r="B21">
        <v>2024</v>
      </c>
      <c r="C21">
        <v>12</v>
      </c>
      <c r="D21">
        <v>4</v>
      </c>
      <c r="E21" t="s">
        <v>27</v>
      </c>
      <c r="F21" t="s">
        <v>19</v>
      </c>
      <c r="G21" t="s">
        <v>13</v>
      </c>
      <c r="H21" t="s">
        <v>29</v>
      </c>
      <c r="I21">
        <v>15</v>
      </c>
      <c r="J21">
        <v>38</v>
      </c>
      <c r="K21">
        <v>570</v>
      </c>
      <c r="L21" t="str">
        <f>IF(tblVendas[[#This Row],[regiao]]="", "Não informado", tblVendas[[#This Row],[regiao]])</f>
        <v>Oeste</v>
      </c>
      <c r="M21" t="str">
        <f>IF(tblVendas[[#This Row],[categoria]]="", "Outros", tblVendas[[#This Row],[categoria]])</f>
        <v>Vestuário</v>
      </c>
      <c r="N21">
        <f>IF(tblVendas[[#This Row],[valor_total]]&lt;0, MEDIAN(tblVendas[valor_total]), tblVendas[[#This Row],[valor_total]])</f>
        <v>570</v>
      </c>
    </row>
    <row r="22" spans="1:14" x14ac:dyDescent="0.25">
      <c r="A22" s="1">
        <v>45585</v>
      </c>
      <c r="B22">
        <v>2024</v>
      </c>
      <c r="C22">
        <v>10</v>
      </c>
      <c r="D22">
        <v>4</v>
      </c>
      <c r="E22" t="s">
        <v>11</v>
      </c>
      <c r="F22" t="s">
        <v>12</v>
      </c>
      <c r="G22" t="s">
        <v>24</v>
      </c>
      <c r="H22" t="s">
        <v>26</v>
      </c>
      <c r="I22">
        <v>18</v>
      </c>
      <c r="J22">
        <v>117</v>
      </c>
      <c r="K22">
        <v>2106</v>
      </c>
      <c r="L22" t="str">
        <f>IF(tblVendas[[#This Row],[regiao]]="", "Não informado", tblVendas[[#This Row],[regiao]])</f>
        <v>Sul</v>
      </c>
      <c r="M22" t="str">
        <f>IF(tblVendas[[#This Row],[categoria]]="", "Outros", tblVendas[[#This Row],[categoria]])</f>
        <v>Calçados</v>
      </c>
      <c r="N22">
        <f>IF(tblVendas[[#This Row],[valor_total]]&lt;0, MEDIAN(tblVendas[valor_total]), tblVendas[[#This Row],[valor_total]])</f>
        <v>2106</v>
      </c>
    </row>
    <row r="23" spans="1:14" x14ac:dyDescent="0.25">
      <c r="A23" s="1">
        <v>45483</v>
      </c>
      <c r="B23">
        <v>2024</v>
      </c>
      <c r="C23">
        <v>7</v>
      </c>
      <c r="D23">
        <v>3</v>
      </c>
      <c r="E23" t="s">
        <v>18</v>
      </c>
      <c r="F23" t="s">
        <v>19</v>
      </c>
      <c r="G23" t="s">
        <v>13</v>
      </c>
      <c r="H23" t="s">
        <v>21</v>
      </c>
      <c r="I23">
        <v>15</v>
      </c>
      <c r="J23">
        <v>66</v>
      </c>
      <c r="K23">
        <v>990</v>
      </c>
      <c r="L23" t="str">
        <f>IF(tblVendas[[#This Row],[regiao]]="", "Não informado", tblVendas[[#This Row],[regiao]])</f>
        <v>Centro-Oeste</v>
      </c>
      <c r="M23" t="str">
        <f>IF(tblVendas[[#This Row],[categoria]]="", "Outros", tblVendas[[#This Row],[categoria]])</f>
        <v>Vestuário</v>
      </c>
      <c r="N23">
        <f>IF(tblVendas[[#This Row],[valor_total]]&lt;0, MEDIAN(tblVendas[valor_total]), tblVendas[[#This Row],[valor_total]])</f>
        <v>990</v>
      </c>
    </row>
    <row r="24" spans="1:14" x14ac:dyDescent="0.25">
      <c r="A24" s="1">
        <v>45568</v>
      </c>
      <c r="B24">
        <v>2024</v>
      </c>
      <c r="C24">
        <v>10</v>
      </c>
      <c r="D24">
        <v>4</v>
      </c>
      <c r="E24" t="s">
        <v>31</v>
      </c>
      <c r="F24" t="s">
        <v>19</v>
      </c>
      <c r="G24" t="s">
        <v>16</v>
      </c>
      <c r="H24" t="s">
        <v>29</v>
      </c>
      <c r="I24">
        <v>19</v>
      </c>
      <c r="J24">
        <v>78</v>
      </c>
      <c r="K24">
        <v>1482</v>
      </c>
      <c r="L24" t="str">
        <f>IF(tblVendas[[#This Row],[regiao]]="", "Não informado", tblVendas[[#This Row],[regiao]])</f>
        <v>Oeste</v>
      </c>
      <c r="M24" t="str">
        <f>IF(tblVendas[[#This Row],[categoria]]="", "Outros", tblVendas[[#This Row],[categoria]])</f>
        <v>Vestuário</v>
      </c>
      <c r="N24">
        <f>IF(tblVendas[[#This Row],[valor_total]]&lt;0, MEDIAN(tblVendas[valor_total]), tblVendas[[#This Row],[valor_total]])</f>
        <v>1482</v>
      </c>
    </row>
    <row r="25" spans="1:14" x14ac:dyDescent="0.25">
      <c r="A25" s="1">
        <v>45452</v>
      </c>
      <c r="B25">
        <v>2024</v>
      </c>
      <c r="C25">
        <v>6</v>
      </c>
      <c r="D25">
        <v>2</v>
      </c>
      <c r="E25" t="s">
        <v>25</v>
      </c>
      <c r="F25" t="s">
        <v>19</v>
      </c>
      <c r="G25" t="s">
        <v>20</v>
      </c>
      <c r="H25" t="s">
        <v>17</v>
      </c>
      <c r="I25">
        <v>12</v>
      </c>
      <c r="J25">
        <v>70</v>
      </c>
      <c r="K25">
        <v>840</v>
      </c>
      <c r="L25" t="str">
        <f>IF(tblVendas[[#This Row],[regiao]]="", "Não informado", tblVendas[[#This Row],[regiao]])</f>
        <v>Leste</v>
      </c>
      <c r="M25" t="str">
        <f>IF(tblVendas[[#This Row],[categoria]]="", "Outros", tblVendas[[#This Row],[categoria]])</f>
        <v>Vestuário</v>
      </c>
      <c r="N25">
        <f>IF(tblVendas[[#This Row],[valor_total]]&lt;0, MEDIAN(tblVendas[valor_total]), tblVendas[[#This Row],[valor_total]])</f>
        <v>840</v>
      </c>
    </row>
    <row r="26" spans="1:14" x14ac:dyDescent="0.25">
      <c r="A26" s="1">
        <v>45605</v>
      </c>
      <c r="B26">
        <v>2024</v>
      </c>
      <c r="C26">
        <v>11</v>
      </c>
      <c r="D26">
        <v>4</v>
      </c>
      <c r="E26" t="s">
        <v>31</v>
      </c>
      <c r="F26" t="s">
        <v>19</v>
      </c>
      <c r="G26" t="s">
        <v>28</v>
      </c>
      <c r="H26" t="s">
        <v>26</v>
      </c>
      <c r="I26">
        <v>13</v>
      </c>
      <c r="J26">
        <v>46</v>
      </c>
      <c r="K26">
        <v>598</v>
      </c>
      <c r="L26" t="str">
        <f>IF(tblVendas[[#This Row],[regiao]]="", "Não informado", tblVendas[[#This Row],[regiao]])</f>
        <v>Sul</v>
      </c>
      <c r="M26" t="str">
        <f>IF(tblVendas[[#This Row],[categoria]]="", "Outros", tblVendas[[#This Row],[categoria]])</f>
        <v>Vestuário</v>
      </c>
      <c r="N26">
        <f>IF(tblVendas[[#This Row],[valor_total]]&lt;0, MEDIAN(tblVendas[valor_total]), tblVendas[[#This Row],[valor_total]])</f>
        <v>598</v>
      </c>
    </row>
    <row r="27" spans="1:14" x14ac:dyDescent="0.25">
      <c r="A27" s="1">
        <v>45313</v>
      </c>
      <c r="B27">
        <v>2024</v>
      </c>
      <c r="C27">
        <v>1</v>
      </c>
      <c r="D27">
        <v>1</v>
      </c>
      <c r="E27" t="s">
        <v>31</v>
      </c>
      <c r="G27" t="s">
        <v>24</v>
      </c>
      <c r="H27" t="s">
        <v>26</v>
      </c>
      <c r="I27">
        <v>11</v>
      </c>
      <c r="J27">
        <v>117</v>
      </c>
      <c r="K27">
        <v>1287</v>
      </c>
      <c r="L27" t="str">
        <f>IF(tblVendas[[#This Row],[regiao]]="", "Não informado", tblVendas[[#This Row],[regiao]])</f>
        <v>Sul</v>
      </c>
      <c r="M27" t="str">
        <f>IF(tblVendas[[#This Row],[categoria]]="", "Outros", tblVendas[[#This Row],[categoria]])</f>
        <v>Outros</v>
      </c>
      <c r="N27">
        <f>IF(tblVendas[[#This Row],[valor_total]]&lt;0, MEDIAN(tblVendas[valor_total]), tblVendas[[#This Row],[valor_total]])</f>
        <v>1287</v>
      </c>
    </row>
    <row r="28" spans="1:14" x14ac:dyDescent="0.25">
      <c r="A28" s="1">
        <v>45544</v>
      </c>
      <c r="B28">
        <v>2024</v>
      </c>
      <c r="C28">
        <v>9</v>
      </c>
      <c r="D28">
        <v>3</v>
      </c>
      <c r="E28" t="s">
        <v>31</v>
      </c>
      <c r="F28" t="s">
        <v>23</v>
      </c>
      <c r="G28" t="s">
        <v>24</v>
      </c>
      <c r="H28" t="s">
        <v>21</v>
      </c>
      <c r="I28">
        <v>5</v>
      </c>
      <c r="J28">
        <v>50</v>
      </c>
      <c r="K28">
        <v>250</v>
      </c>
      <c r="L28" t="str">
        <f>IF(tblVendas[[#This Row],[regiao]]="", "Não informado", tblVendas[[#This Row],[regiao]])</f>
        <v>Centro-Oeste</v>
      </c>
      <c r="M28" t="str">
        <f>IF(tblVendas[[#This Row],[categoria]]="", "Outros", tblVendas[[#This Row],[categoria]])</f>
        <v>Acessórios</v>
      </c>
      <c r="N28">
        <f>IF(tblVendas[[#This Row],[valor_total]]&lt;0, MEDIAN(tblVendas[valor_total]), tblVendas[[#This Row],[valor_total]])</f>
        <v>250</v>
      </c>
    </row>
    <row r="29" spans="1:14" x14ac:dyDescent="0.25">
      <c r="A29" s="1">
        <v>45527</v>
      </c>
      <c r="B29">
        <v>2024</v>
      </c>
      <c r="C29">
        <v>8</v>
      </c>
      <c r="D29">
        <v>3</v>
      </c>
      <c r="E29" t="s">
        <v>15</v>
      </c>
      <c r="F29" t="s">
        <v>19</v>
      </c>
      <c r="G29" t="s">
        <v>13</v>
      </c>
      <c r="H29" t="s">
        <v>14</v>
      </c>
      <c r="I29">
        <v>1</v>
      </c>
      <c r="J29">
        <v>80</v>
      </c>
      <c r="K29">
        <v>80</v>
      </c>
      <c r="L29" t="str">
        <f>IF(tblVendas[[#This Row],[regiao]]="", "Não informado", tblVendas[[#This Row],[regiao]])</f>
        <v>Norte</v>
      </c>
      <c r="M29" t="str">
        <f>IF(tblVendas[[#This Row],[categoria]]="", "Outros", tblVendas[[#This Row],[categoria]])</f>
        <v>Vestuário</v>
      </c>
      <c r="N29">
        <f>IF(tblVendas[[#This Row],[valor_total]]&lt;0, MEDIAN(tblVendas[valor_total]), tblVendas[[#This Row],[valor_total]])</f>
        <v>80</v>
      </c>
    </row>
    <row r="30" spans="1:14" x14ac:dyDescent="0.25">
      <c r="A30" s="1">
        <v>45636</v>
      </c>
      <c r="B30">
        <v>2024</v>
      </c>
      <c r="C30">
        <v>12</v>
      </c>
      <c r="D30">
        <v>4</v>
      </c>
      <c r="E30" t="s">
        <v>27</v>
      </c>
      <c r="F30" t="s">
        <v>12</v>
      </c>
      <c r="G30" t="s">
        <v>24</v>
      </c>
      <c r="H30" t="s">
        <v>17</v>
      </c>
      <c r="I30">
        <v>3</v>
      </c>
      <c r="J30">
        <v>88</v>
      </c>
      <c r="K30">
        <v>264</v>
      </c>
      <c r="L30" t="str">
        <f>IF(tblVendas[[#This Row],[regiao]]="", "Não informado", tblVendas[[#This Row],[regiao]])</f>
        <v>Leste</v>
      </c>
      <c r="M30" t="str">
        <f>IF(tblVendas[[#This Row],[categoria]]="", "Outros", tblVendas[[#This Row],[categoria]])</f>
        <v>Calçados</v>
      </c>
      <c r="N30">
        <f>IF(tblVendas[[#This Row],[valor_total]]&lt;0, MEDIAN(tblVendas[valor_total]), tblVendas[[#This Row],[valor_total]])</f>
        <v>264</v>
      </c>
    </row>
    <row r="31" spans="1:14" x14ac:dyDescent="0.25">
      <c r="A31" s="1">
        <v>45340</v>
      </c>
      <c r="B31">
        <v>2024</v>
      </c>
      <c r="C31">
        <v>2</v>
      </c>
      <c r="D31">
        <v>1</v>
      </c>
      <c r="E31" t="s">
        <v>32</v>
      </c>
      <c r="F31" t="s">
        <v>12</v>
      </c>
      <c r="G31" t="s">
        <v>16</v>
      </c>
      <c r="H31" t="s">
        <v>21</v>
      </c>
      <c r="I31">
        <v>19</v>
      </c>
      <c r="J31">
        <v>196</v>
      </c>
      <c r="K31">
        <v>3724</v>
      </c>
      <c r="L31" t="str">
        <f>IF(tblVendas[[#This Row],[regiao]]="", "Não informado", tblVendas[[#This Row],[regiao]])</f>
        <v>Centro-Oeste</v>
      </c>
      <c r="M31" t="str">
        <f>IF(tblVendas[[#This Row],[categoria]]="", "Outros", tblVendas[[#This Row],[categoria]])</f>
        <v>Calçados</v>
      </c>
      <c r="N31">
        <f>IF(tblVendas[[#This Row],[valor_total]]&lt;0, MEDIAN(tblVendas[valor_total]), tblVendas[[#This Row],[valor_total]])</f>
        <v>3724</v>
      </c>
    </row>
    <row r="32" spans="1:14" x14ac:dyDescent="0.25">
      <c r="A32" s="1">
        <v>45350</v>
      </c>
      <c r="B32">
        <v>2024</v>
      </c>
      <c r="C32">
        <v>2</v>
      </c>
      <c r="D32">
        <v>1</v>
      </c>
      <c r="E32" t="s">
        <v>11</v>
      </c>
      <c r="F32" t="s">
        <v>12</v>
      </c>
      <c r="G32" t="s">
        <v>16</v>
      </c>
      <c r="H32" t="s">
        <v>17</v>
      </c>
      <c r="I32">
        <v>7</v>
      </c>
      <c r="J32">
        <v>70</v>
      </c>
      <c r="K32">
        <v>490</v>
      </c>
      <c r="L32" t="str">
        <f>IF(tblVendas[[#This Row],[regiao]]="", "Não informado", tblVendas[[#This Row],[regiao]])</f>
        <v>Leste</v>
      </c>
      <c r="M32" t="str">
        <f>IF(tblVendas[[#This Row],[categoria]]="", "Outros", tblVendas[[#This Row],[categoria]])</f>
        <v>Calçados</v>
      </c>
      <c r="N32">
        <f>IF(tblVendas[[#This Row],[valor_total]]&lt;0, MEDIAN(tblVendas[valor_total]), tblVendas[[#This Row],[valor_total]])</f>
        <v>490</v>
      </c>
    </row>
    <row r="33" spans="1:14" x14ac:dyDescent="0.25">
      <c r="A33" s="1">
        <v>45461</v>
      </c>
      <c r="B33">
        <v>2024</v>
      </c>
      <c r="C33">
        <v>6</v>
      </c>
      <c r="D33">
        <v>2</v>
      </c>
      <c r="E33" t="s">
        <v>22</v>
      </c>
      <c r="F33" t="s">
        <v>12</v>
      </c>
      <c r="G33" t="s">
        <v>13</v>
      </c>
      <c r="H33" t="s">
        <v>14</v>
      </c>
      <c r="I33">
        <v>12</v>
      </c>
      <c r="J33">
        <v>68</v>
      </c>
      <c r="K33">
        <v>816</v>
      </c>
      <c r="L33" t="str">
        <f>IF(tblVendas[[#This Row],[regiao]]="", "Não informado", tblVendas[[#This Row],[regiao]])</f>
        <v>Norte</v>
      </c>
      <c r="M33" t="str">
        <f>IF(tblVendas[[#This Row],[categoria]]="", "Outros", tblVendas[[#This Row],[categoria]])</f>
        <v>Calçados</v>
      </c>
      <c r="N33">
        <f>IF(tblVendas[[#This Row],[valor_total]]&lt;0, MEDIAN(tblVendas[valor_total]), tblVendas[[#This Row],[valor_total]])</f>
        <v>816</v>
      </c>
    </row>
    <row r="34" spans="1:14" x14ac:dyDescent="0.25">
      <c r="A34" s="1">
        <v>45479</v>
      </c>
      <c r="B34">
        <v>2024</v>
      </c>
      <c r="C34">
        <v>7</v>
      </c>
      <c r="D34">
        <v>3</v>
      </c>
      <c r="E34" t="s">
        <v>31</v>
      </c>
      <c r="F34" t="s">
        <v>19</v>
      </c>
      <c r="G34" t="s">
        <v>16</v>
      </c>
      <c r="H34" t="s">
        <v>14</v>
      </c>
      <c r="I34">
        <v>15</v>
      </c>
      <c r="J34">
        <v>170</v>
      </c>
      <c r="K34">
        <v>2550</v>
      </c>
      <c r="L34" t="str">
        <f>IF(tblVendas[[#This Row],[regiao]]="", "Não informado", tblVendas[[#This Row],[regiao]])</f>
        <v>Norte</v>
      </c>
      <c r="M34" t="str">
        <f>IF(tblVendas[[#This Row],[categoria]]="", "Outros", tblVendas[[#This Row],[categoria]])</f>
        <v>Vestuário</v>
      </c>
      <c r="N34">
        <f>IF(tblVendas[[#This Row],[valor_total]]&lt;0, MEDIAN(tblVendas[valor_total]), tblVendas[[#This Row],[valor_total]])</f>
        <v>2550</v>
      </c>
    </row>
    <row r="35" spans="1:14" x14ac:dyDescent="0.25">
      <c r="A35" s="1">
        <v>45562</v>
      </c>
      <c r="B35">
        <v>2024</v>
      </c>
      <c r="C35">
        <v>9</v>
      </c>
      <c r="D35">
        <v>3</v>
      </c>
      <c r="E35" t="s">
        <v>30</v>
      </c>
      <c r="F35" t="s">
        <v>23</v>
      </c>
      <c r="G35" t="s">
        <v>20</v>
      </c>
      <c r="H35" t="s">
        <v>21</v>
      </c>
      <c r="I35">
        <v>5</v>
      </c>
      <c r="J35">
        <v>40</v>
      </c>
      <c r="K35">
        <v>200</v>
      </c>
      <c r="L35" t="str">
        <f>IF(tblVendas[[#This Row],[regiao]]="", "Não informado", tblVendas[[#This Row],[regiao]])</f>
        <v>Centro-Oeste</v>
      </c>
      <c r="M35" t="str">
        <f>IF(tblVendas[[#This Row],[categoria]]="", "Outros", tblVendas[[#This Row],[categoria]])</f>
        <v>Acessórios</v>
      </c>
      <c r="N35">
        <f>IF(tblVendas[[#This Row],[valor_total]]&lt;0, MEDIAN(tblVendas[valor_total]), tblVendas[[#This Row],[valor_total]])</f>
        <v>200</v>
      </c>
    </row>
    <row r="36" spans="1:14" x14ac:dyDescent="0.25">
      <c r="A36" s="1">
        <v>45481</v>
      </c>
      <c r="B36">
        <v>2024</v>
      </c>
      <c r="C36">
        <v>7</v>
      </c>
      <c r="D36">
        <v>3</v>
      </c>
      <c r="E36" t="s">
        <v>15</v>
      </c>
      <c r="F36" t="s">
        <v>12</v>
      </c>
      <c r="G36" t="s">
        <v>13</v>
      </c>
      <c r="H36" t="s">
        <v>14</v>
      </c>
      <c r="I36">
        <v>15</v>
      </c>
      <c r="J36">
        <v>176</v>
      </c>
      <c r="K36">
        <v>2640</v>
      </c>
      <c r="L36" t="str">
        <f>IF(tblVendas[[#This Row],[regiao]]="", "Não informado", tblVendas[[#This Row],[regiao]])</f>
        <v>Norte</v>
      </c>
      <c r="M36" t="str">
        <f>IF(tblVendas[[#This Row],[categoria]]="", "Outros", tblVendas[[#This Row],[categoria]])</f>
        <v>Calçados</v>
      </c>
      <c r="N36">
        <f>IF(tblVendas[[#This Row],[valor_total]]&lt;0, MEDIAN(tblVendas[valor_total]), tblVendas[[#This Row],[valor_total]])</f>
        <v>2640</v>
      </c>
    </row>
    <row r="37" spans="1:14" x14ac:dyDescent="0.25">
      <c r="A37" s="1">
        <v>45466</v>
      </c>
      <c r="B37">
        <v>2024</v>
      </c>
      <c r="C37">
        <v>6</v>
      </c>
      <c r="D37">
        <v>2</v>
      </c>
      <c r="E37" t="s">
        <v>25</v>
      </c>
      <c r="F37" t="s">
        <v>19</v>
      </c>
      <c r="G37" t="s">
        <v>20</v>
      </c>
      <c r="H37" t="s">
        <v>29</v>
      </c>
      <c r="I37">
        <v>8</v>
      </c>
      <c r="J37">
        <v>168</v>
      </c>
      <c r="K37">
        <v>1344</v>
      </c>
      <c r="L37" t="str">
        <f>IF(tblVendas[[#This Row],[regiao]]="", "Não informado", tblVendas[[#This Row],[regiao]])</f>
        <v>Oeste</v>
      </c>
      <c r="M37" t="str">
        <f>IF(tblVendas[[#This Row],[categoria]]="", "Outros", tblVendas[[#This Row],[categoria]])</f>
        <v>Vestuário</v>
      </c>
      <c r="N37">
        <f>IF(tblVendas[[#This Row],[valor_total]]&lt;0, MEDIAN(tblVendas[valor_total]), tblVendas[[#This Row],[valor_total]])</f>
        <v>1344</v>
      </c>
    </row>
    <row r="38" spans="1:14" x14ac:dyDescent="0.25">
      <c r="A38" s="1">
        <v>45342</v>
      </c>
      <c r="B38">
        <v>2024</v>
      </c>
      <c r="C38">
        <v>2</v>
      </c>
      <c r="D38">
        <v>1</v>
      </c>
      <c r="E38" t="s">
        <v>22</v>
      </c>
      <c r="F38" t="s">
        <v>12</v>
      </c>
      <c r="G38" t="s">
        <v>28</v>
      </c>
      <c r="H38" t="s">
        <v>26</v>
      </c>
      <c r="I38">
        <v>10</v>
      </c>
      <c r="J38">
        <v>106</v>
      </c>
      <c r="K38">
        <v>1060</v>
      </c>
      <c r="L38" t="str">
        <f>IF(tblVendas[[#This Row],[regiao]]="", "Não informado", tblVendas[[#This Row],[regiao]])</f>
        <v>Sul</v>
      </c>
      <c r="M38" t="str">
        <f>IF(tblVendas[[#This Row],[categoria]]="", "Outros", tblVendas[[#This Row],[categoria]])</f>
        <v>Calçados</v>
      </c>
      <c r="N38">
        <f>IF(tblVendas[[#This Row],[valor_total]]&lt;0, MEDIAN(tblVendas[valor_total]), tblVendas[[#This Row],[valor_total]])</f>
        <v>1060</v>
      </c>
    </row>
    <row r="39" spans="1:14" x14ac:dyDescent="0.25">
      <c r="A39" s="1">
        <v>45655</v>
      </c>
      <c r="B39">
        <v>2024</v>
      </c>
      <c r="C39">
        <v>12</v>
      </c>
      <c r="D39">
        <v>4</v>
      </c>
      <c r="E39" t="s">
        <v>32</v>
      </c>
      <c r="F39" t="s">
        <v>12</v>
      </c>
      <c r="G39" t="s">
        <v>20</v>
      </c>
      <c r="H39" t="s">
        <v>21</v>
      </c>
      <c r="I39">
        <v>16</v>
      </c>
      <c r="J39">
        <v>156</v>
      </c>
      <c r="K39">
        <v>2496</v>
      </c>
      <c r="L39" t="str">
        <f>IF(tblVendas[[#This Row],[regiao]]="", "Não informado", tblVendas[[#This Row],[regiao]])</f>
        <v>Centro-Oeste</v>
      </c>
      <c r="M39" t="str">
        <f>IF(tblVendas[[#This Row],[categoria]]="", "Outros", tblVendas[[#This Row],[categoria]])</f>
        <v>Calçados</v>
      </c>
      <c r="N39">
        <f>IF(tblVendas[[#This Row],[valor_total]]&lt;0, MEDIAN(tblVendas[valor_total]), tblVendas[[#This Row],[valor_total]])</f>
        <v>2496</v>
      </c>
    </row>
    <row r="40" spans="1:14" x14ac:dyDescent="0.25">
      <c r="A40" s="1">
        <v>45346</v>
      </c>
      <c r="B40">
        <v>2024</v>
      </c>
      <c r="C40">
        <v>2</v>
      </c>
      <c r="D40">
        <v>1</v>
      </c>
      <c r="E40" t="s">
        <v>30</v>
      </c>
      <c r="F40" t="s">
        <v>19</v>
      </c>
      <c r="G40" t="s">
        <v>28</v>
      </c>
      <c r="H40" t="s">
        <v>17</v>
      </c>
      <c r="I40">
        <v>8</v>
      </c>
      <c r="J40">
        <v>75</v>
      </c>
      <c r="K40">
        <v>600</v>
      </c>
      <c r="L40" t="str">
        <f>IF(tblVendas[[#This Row],[regiao]]="", "Não informado", tblVendas[[#This Row],[regiao]])</f>
        <v>Leste</v>
      </c>
      <c r="M40" t="str">
        <f>IF(tblVendas[[#This Row],[categoria]]="", "Outros", tblVendas[[#This Row],[categoria]])</f>
        <v>Vestuário</v>
      </c>
      <c r="N40">
        <f>IF(tblVendas[[#This Row],[valor_total]]&lt;0, MEDIAN(tblVendas[valor_total]), tblVendas[[#This Row],[valor_total]])</f>
        <v>600</v>
      </c>
    </row>
    <row r="41" spans="1:14" x14ac:dyDescent="0.25">
      <c r="A41" s="1">
        <v>45535</v>
      </c>
      <c r="B41">
        <v>2024</v>
      </c>
      <c r="C41">
        <v>8</v>
      </c>
      <c r="D41">
        <v>3</v>
      </c>
      <c r="E41" t="s">
        <v>32</v>
      </c>
      <c r="F41" t="s">
        <v>23</v>
      </c>
      <c r="G41" t="s">
        <v>28</v>
      </c>
      <c r="H41" t="s">
        <v>29</v>
      </c>
      <c r="I41">
        <v>1</v>
      </c>
      <c r="J41">
        <v>74</v>
      </c>
      <c r="K41">
        <v>74</v>
      </c>
      <c r="L41" t="str">
        <f>IF(tblVendas[[#This Row],[regiao]]="", "Não informado", tblVendas[[#This Row],[regiao]])</f>
        <v>Oeste</v>
      </c>
      <c r="M41" t="str">
        <f>IF(tblVendas[[#This Row],[categoria]]="", "Outros", tblVendas[[#This Row],[categoria]])</f>
        <v>Acessórios</v>
      </c>
      <c r="N41">
        <f>IF(tblVendas[[#This Row],[valor_total]]&lt;0, MEDIAN(tblVendas[valor_total]), tblVendas[[#This Row],[valor_total]])</f>
        <v>74</v>
      </c>
    </row>
    <row r="42" spans="1:14" x14ac:dyDescent="0.25">
      <c r="A42" s="1">
        <v>45611</v>
      </c>
      <c r="B42">
        <v>2024</v>
      </c>
      <c r="C42">
        <v>11</v>
      </c>
      <c r="D42">
        <v>4</v>
      </c>
      <c r="E42" t="s">
        <v>22</v>
      </c>
      <c r="F42" t="s">
        <v>23</v>
      </c>
      <c r="G42" t="s">
        <v>20</v>
      </c>
      <c r="H42" t="s">
        <v>21</v>
      </c>
      <c r="I42">
        <v>12</v>
      </c>
      <c r="J42">
        <v>30</v>
      </c>
      <c r="K42">
        <v>360</v>
      </c>
      <c r="L42" t="str">
        <f>IF(tblVendas[[#This Row],[regiao]]="", "Não informado", tblVendas[[#This Row],[regiao]])</f>
        <v>Centro-Oeste</v>
      </c>
      <c r="M42" t="str">
        <f>IF(tblVendas[[#This Row],[categoria]]="", "Outros", tblVendas[[#This Row],[categoria]])</f>
        <v>Acessórios</v>
      </c>
      <c r="N42">
        <f>IF(tblVendas[[#This Row],[valor_total]]&lt;0, MEDIAN(tblVendas[valor_total]), tblVendas[[#This Row],[valor_total]])</f>
        <v>360</v>
      </c>
    </row>
    <row r="43" spans="1:14" x14ac:dyDescent="0.25">
      <c r="A43" s="1">
        <v>45422</v>
      </c>
      <c r="B43">
        <v>2024</v>
      </c>
      <c r="C43">
        <v>5</v>
      </c>
      <c r="D43">
        <v>2</v>
      </c>
      <c r="E43" t="s">
        <v>31</v>
      </c>
      <c r="F43" t="s">
        <v>19</v>
      </c>
      <c r="G43" t="s">
        <v>13</v>
      </c>
      <c r="H43" t="s">
        <v>14</v>
      </c>
      <c r="I43">
        <v>5</v>
      </c>
      <c r="J43">
        <v>197</v>
      </c>
      <c r="K43">
        <v>985</v>
      </c>
      <c r="L43" t="str">
        <f>IF(tblVendas[[#This Row],[regiao]]="", "Não informado", tblVendas[[#This Row],[regiao]])</f>
        <v>Norte</v>
      </c>
      <c r="M43" t="str">
        <f>IF(tblVendas[[#This Row],[categoria]]="", "Outros", tblVendas[[#This Row],[categoria]])</f>
        <v>Vestuário</v>
      </c>
      <c r="N43">
        <f>IF(tblVendas[[#This Row],[valor_total]]&lt;0, MEDIAN(tblVendas[valor_total]), tblVendas[[#This Row],[valor_total]])</f>
        <v>985</v>
      </c>
    </row>
    <row r="44" spans="1:14" x14ac:dyDescent="0.25">
      <c r="A44" s="1">
        <v>45598</v>
      </c>
      <c r="B44">
        <v>2024</v>
      </c>
      <c r="C44">
        <v>11</v>
      </c>
      <c r="D44">
        <v>4</v>
      </c>
      <c r="E44" t="s">
        <v>30</v>
      </c>
      <c r="F44" t="s">
        <v>23</v>
      </c>
      <c r="G44" t="s">
        <v>16</v>
      </c>
      <c r="H44" t="s">
        <v>14</v>
      </c>
      <c r="I44">
        <v>3</v>
      </c>
      <c r="J44">
        <v>137</v>
      </c>
      <c r="K44">
        <v>411</v>
      </c>
      <c r="L44" t="str">
        <f>IF(tblVendas[[#This Row],[regiao]]="", "Não informado", tblVendas[[#This Row],[regiao]])</f>
        <v>Norte</v>
      </c>
      <c r="M44" t="str">
        <f>IF(tblVendas[[#This Row],[categoria]]="", "Outros", tblVendas[[#This Row],[categoria]])</f>
        <v>Acessórios</v>
      </c>
      <c r="N44">
        <f>IF(tblVendas[[#This Row],[valor_total]]&lt;0, MEDIAN(tblVendas[valor_total]), tblVendas[[#This Row],[valor_total]])</f>
        <v>411</v>
      </c>
    </row>
    <row r="45" spans="1:14" x14ac:dyDescent="0.25">
      <c r="A45" s="1">
        <v>45426</v>
      </c>
      <c r="B45">
        <v>2024</v>
      </c>
      <c r="C45">
        <v>5</v>
      </c>
      <c r="D45">
        <v>2</v>
      </c>
      <c r="E45" t="s">
        <v>32</v>
      </c>
      <c r="F45" t="s">
        <v>19</v>
      </c>
      <c r="G45" t="s">
        <v>16</v>
      </c>
      <c r="H45" t="s">
        <v>14</v>
      </c>
      <c r="I45">
        <v>1</v>
      </c>
      <c r="J45">
        <v>48</v>
      </c>
      <c r="K45">
        <v>48</v>
      </c>
      <c r="L45" t="str">
        <f>IF(tblVendas[[#This Row],[regiao]]="", "Não informado", tblVendas[[#This Row],[regiao]])</f>
        <v>Norte</v>
      </c>
      <c r="M45" t="str">
        <f>IF(tblVendas[[#This Row],[categoria]]="", "Outros", tblVendas[[#This Row],[categoria]])</f>
        <v>Vestuário</v>
      </c>
      <c r="N45">
        <f>IF(tblVendas[[#This Row],[valor_total]]&lt;0, MEDIAN(tblVendas[valor_total]), tblVendas[[#This Row],[valor_total]])</f>
        <v>48</v>
      </c>
    </row>
    <row r="46" spans="1:14" x14ac:dyDescent="0.25">
      <c r="A46" s="1">
        <v>45312</v>
      </c>
      <c r="B46">
        <v>2024</v>
      </c>
      <c r="C46">
        <v>1</v>
      </c>
      <c r="D46">
        <v>1</v>
      </c>
      <c r="E46" t="s">
        <v>25</v>
      </c>
      <c r="F46" t="s">
        <v>19</v>
      </c>
      <c r="G46" t="s">
        <v>28</v>
      </c>
      <c r="H46" t="s">
        <v>14</v>
      </c>
      <c r="I46">
        <v>4</v>
      </c>
      <c r="J46">
        <v>105</v>
      </c>
      <c r="K46">
        <v>420</v>
      </c>
      <c r="L46" t="str">
        <f>IF(tblVendas[[#This Row],[regiao]]="", "Não informado", tblVendas[[#This Row],[regiao]])</f>
        <v>Norte</v>
      </c>
      <c r="M46" t="str">
        <f>IF(tblVendas[[#This Row],[categoria]]="", "Outros", tblVendas[[#This Row],[categoria]])</f>
        <v>Vestuário</v>
      </c>
      <c r="N46">
        <f>IF(tblVendas[[#This Row],[valor_total]]&lt;0, MEDIAN(tblVendas[valor_total]), tblVendas[[#This Row],[valor_total]])</f>
        <v>420</v>
      </c>
    </row>
    <row r="47" spans="1:14" x14ac:dyDescent="0.25">
      <c r="A47" s="1">
        <v>45620</v>
      </c>
      <c r="B47">
        <v>2024</v>
      </c>
      <c r="C47">
        <v>11</v>
      </c>
      <c r="D47">
        <v>4</v>
      </c>
      <c r="E47" t="s">
        <v>27</v>
      </c>
      <c r="F47" t="s">
        <v>19</v>
      </c>
      <c r="G47" t="s">
        <v>28</v>
      </c>
      <c r="H47" t="s">
        <v>17</v>
      </c>
      <c r="I47">
        <v>8</v>
      </c>
      <c r="J47">
        <v>101</v>
      </c>
      <c r="K47">
        <v>808</v>
      </c>
      <c r="L47" t="str">
        <f>IF(tblVendas[[#This Row],[regiao]]="", "Não informado", tblVendas[[#This Row],[regiao]])</f>
        <v>Leste</v>
      </c>
      <c r="M47" t="str">
        <f>IF(tblVendas[[#This Row],[categoria]]="", "Outros", tblVendas[[#This Row],[categoria]])</f>
        <v>Vestuário</v>
      </c>
      <c r="N47">
        <f>IF(tblVendas[[#This Row],[valor_total]]&lt;0, MEDIAN(tblVendas[valor_total]), tblVendas[[#This Row],[valor_total]])</f>
        <v>808</v>
      </c>
    </row>
    <row r="48" spans="1:14" x14ac:dyDescent="0.25">
      <c r="A48" s="1">
        <v>45458</v>
      </c>
      <c r="B48">
        <v>2024</v>
      </c>
      <c r="C48">
        <v>6</v>
      </c>
      <c r="D48">
        <v>2</v>
      </c>
      <c r="E48" t="s">
        <v>18</v>
      </c>
      <c r="F48" t="s">
        <v>23</v>
      </c>
      <c r="G48" t="s">
        <v>13</v>
      </c>
      <c r="H48" t="s">
        <v>29</v>
      </c>
      <c r="I48">
        <v>3</v>
      </c>
      <c r="J48">
        <v>138</v>
      </c>
      <c r="K48">
        <v>414</v>
      </c>
      <c r="L48" t="str">
        <f>IF(tblVendas[[#This Row],[regiao]]="", "Não informado", tblVendas[[#This Row],[regiao]])</f>
        <v>Oeste</v>
      </c>
      <c r="M48" t="str">
        <f>IF(tblVendas[[#This Row],[categoria]]="", "Outros", tblVendas[[#This Row],[categoria]])</f>
        <v>Acessórios</v>
      </c>
      <c r="N48">
        <f>IF(tblVendas[[#This Row],[valor_total]]&lt;0, MEDIAN(tblVendas[valor_total]), tblVendas[[#This Row],[valor_total]])</f>
        <v>414</v>
      </c>
    </row>
    <row r="49" spans="1:14" x14ac:dyDescent="0.25">
      <c r="A49" s="1">
        <v>45565</v>
      </c>
      <c r="B49">
        <v>2024</v>
      </c>
      <c r="C49">
        <v>9</v>
      </c>
      <c r="D49">
        <v>3</v>
      </c>
      <c r="E49" t="s">
        <v>27</v>
      </c>
      <c r="F49" t="s">
        <v>19</v>
      </c>
      <c r="G49" t="s">
        <v>24</v>
      </c>
      <c r="H49" t="s">
        <v>26</v>
      </c>
      <c r="I49">
        <v>10</v>
      </c>
      <c r="J49">
        <v>41</v>
      </c>
      <c r="K49">
        <v>410</v>
      </c>
      <c r="L49" t="str">
        <f>IF(tblVendas[[#This Row],[regiao]]="", "Não informado", tblVendas[[#This Row],[regiao]])</f>
        <v>Sul</v>
      </c>
      <c r="M49" t="str">
        <f>IF(tblVendas[[#This Row],[categoria]]="", "Outros", tblVendas[[#This Row],[categoria]])</f>
        <v>Vestuário</v>
      </c>
      <c r="N49">
        <f>IF(tblVendas[[#This Row],[valor_total]]&lt;0, MEDIAN(tblVendas[valor_total]), tblVendas[[#This Row],[valor_total]])</f>
        <v>410</v>
      </c>
    </row>
    <row r="50" spans="1:14" x14ac:dyDescent="0.25">
      <c r="A50" s="1">
        <v>45380</v>
      </c>
      <c r="B50">
        <v>2024</v>
      </c>
      <c r="C50">
        <v>3</v>
      </c>
      <c r="D50">
        <v>1</v>
      </c>
      <c r="E50" t="s">
        <v>22</v>
      </c>
      <c r="F50" t="s">
        <v>12</v>
      </c>
      <c r="G50" t="s">
        <v>20</v>
      </c>
      <c r="H50" t="s">
        <v>17</v>
      </c>
      <c r="I50">
        <v>2</v>
      </c>
      <c r="J50">
        <v>190</v>
      </c>
      <c r="K50">
        <v>380</v>
      </c>
      <c r="L50" t="str">
        <f>IF(tblVendas[[#This Row],[regiao]]="", "Não informado", tblVendas[[#This Row],[regiao]])</f>
        <v>Leste</v>
      </c>
      <c r="M50" t="str">
        <f>IF(tblVendas[[#This Row],[categoria]]="", "Outros", tblVendas[[#This Row],[categoria]])</f>
        <v>Calçados</v>
      </c>
      <c r="N50">
        <f>IF(tblVendas[[#This Row],[valor_total]]&lt;0, MEDIAN(tblVendas[valor_total]), tblVendas[[#This Row],[valor_total]])</f>
        <v>380</v>
      </c>
    </row>
    <row r="51" spans="1:14" x14ac:dyDescent="0.25">
      <c r="A51" s="1">
        <v>45607</v>
      </c>
      <c r="B51">
        <v>2024</v>
      </c>
      <c r="C51">
        <v>11</v>
      </c>
      <c r="D51">
        <v>4</v>
      </c>
      <c r="E51" t="s">
        <v>15</v>
      </c>
      <c r="F51" t="s">
        <v>23</v>
      </c>
      <c r="G51" t="s">
        <v>28</v>
      </c>
      <c r="H51" t="s">
        <v>17</v>
      </c>
      <c r="I51">
        <v>11</v>
      </c>
      <c r="J51">
        <v>74</v>
      </c>
      <c r="K51">
        <v>814</v>
      </c>
      <c r="L51" t="str">
        <f>IF(tblVendas[[#This Row],[regiao]]="", "Não informado", tblVendas[[#This Row],[regiao]])</f>
        <v>Leste</v>
      </c>
      <c r="M51" t="str">
        <f>IF(tblVendas[[#This Row],[categoria]]="", "Outros", tblVendas[[#This Row],[categoria]])</f>
        <v>Acessórios</v>
      </c>
      <c r="N51">
        <f>IF(tblVendas[[#This Row],[valor_total]]&lt;0, MEDIAN(tblVendas[valor_total]), tblVendas[[#This Row],[valor_total]])</f>
        <v>814</v>
      </c>
    </row>
    <row r="52" spans="1:14" x14ac:dyDescent="0.25">
      <c r="A52" s="1">
        <v>45305</v>
      </c>
      <c r="B52">
        <v>2024</v>
      </c>
      <c r="C52">
        <v>1</v>
      </c>
      <c r="D52">
        <v>1</v>
      </c>
      <c r="E52" t="s">
        <v>18</v>
      </c>
      <c r="F52" t="s">
        <v>23</v>
      </c>
      <c r="G52" t="s">
        <v>16</v>
      </c>
      <c r="H52" t="s">
        <v>26</v>
      </c>
      <c r="I52">
        <v>10</v>
      </c>
      <c r="J52">
        <v>119</v>
      </c>
      <c r="K52">
        <v>-999</v>
      </c>
      <c r="L52" t="str">
        <f>IF(tblVendas[[#This Row],[regiao]]="", "Não informado", tblVendas[[#This Row],[regiao]])</f>
        <v>Sul</v>
      </c>
      <c r="M52" t="str">
        <f>IF(tblVendas[[#This Row],[categoria]]="", "Outros", tblVendas[[#This Row],[categoria]])</f>
        <v>Acessórios</v>
      </c>
      <c r="N52">
        <f>IF(tblVendas[[#This Row],[valor_total]]&lt;0, MEDIAN(tblVendas[valor_total]), tblVendas[[#This Row],[valor_total]])</f>
        <v>921.5</v>
      </c>
    </row>
    <row r="53" spans="1:14" x14ac:dyDescent="0.25">
      <c r="A53" s="1">
        <v>45533</v>
      </c>
      <c r="B53">
        <v>2024</v>
      </c>
      <c r="C53">
        <v>8</v>
      </c>
      <c r="D53">
        <v>3</v>
      </c>
      <c r="E53" t="s">
        <v>11</v>
      </c>
      <c r="F53" t="s">
        <v>23</v>
      </c>
      <c r="G53" t="s">
        <v>13</v>
      </c>
      <c r="H53" t="s">
        <v>26</v>
      </c>
      <c r="I53">
        <v>14</v>
      </c>
      <c r="J53">
        <v>132</v>
      </c>
      <c r="K53">
        <v>1848</v>
      </c>
      <c r="L53" t="str">
        <f>IF(tblVendas[[#This Row],[regiao]]="", "Não informado", tblVendas[[#This Row],[regiao]])</f>
        <v>Sul</v>
      </c>
      <c r="M53" t="str">
        <f>IF(tblVendas[[#This Row],[categoria]]="", "Outros", tblVendas[[#This Row],[categoria]])</f>
        <v>Acessórios</v>
      </c>
      <c r="N53">
        <f>IF(tblVendas[[#This Row],[valor_total]]&lt;0, MEDIAN(tblVendas[valor_total]), tblVendas[[#This Row],[valor_total]])</f>
        <v>1848</v>
      </c>
    </row>
    <row r="54" spans="1:14" x14ac:dyDescent="0.25">
      <c r="A54" s="1">
        <v>45556</v>
      </c>
      <c r="B54">
        <v>2024</v>
      </c>
      <c r="C54">
        <v>9</v>
      </c>
      <c r="D54">
        <v>3</v>
      </c>
      <c r="E54" t="s">
        <v>25</v>
      </c>
      <c r="F54" t="s">
        <v>23</v>
      </c>
      <c r="G54" t="s">
        <v>20</v>
      </c>
      <c r="H54" t="s">
        <v>14</v>
      </c>
      <c r="I54">
        <v>7</v>
      </c>
      <c r="J54">
        <v>37</v>
      </c>
      <c r="K54">
        <v>259</v>
      </c>
      <c r="L54" t="str">
        <f>IF(tblVendas[[#This Row],[regiao]]="", "Não informado", tblVendas[[#This Row],[regiao]])</f>
        <v>Norte</v>
      </c>
      <c r="M54" t="str">
        <f>IF(tblVendas[[#This Row],[categoria]]="", "Outros", tblVendas[[#This Row],[categoria]])</f>
        <v>Acessórios</v>
      </c>
      <c r="N54">
        <f>IF(tblVendas[[#This Row],[valor_total]]&lt;0, MEDIAN(tblVendas[valor_total]), tblVendas[[#This Row],[valor_total]])</f>
        <v>259</v>
      </c>
    </row>
    <row r="55" spans="1:14" x14ac:dyDescent="0.25">
      <c r="A55" s="1">
        <v>45637</v>
      </c>
      <c r="B55">
        <v>2024</v>
      </c>
      <c r="C55">
        <v>12</v>
      </c>
      <c r="D55">
        <v>4</v>
      </c>
      <c r="E55" t="s">
        <v>11</v>
      </c>
      <c r="F55" t="s">
        <v>12</v>
      </c>
      <c r="G55" t="s">
        <v>13</v>
      </c>
      <c r="H55" t="s">
        <v>17</v>
      </c>
      <c r="I55">
        <v>2</v>
      </c>
      <c r="J55">
        <v>182</v>
      </c>
      <c r="K55">
        <v>364</v>
      </c>
      <c r="L55" t="str">
        <f>IF(tblVendas[[#This Row],[regiao]]="", "Não informado", tblVendas[[#This Row],[regiao]])</f>
        <v>Leste</v>
      </c>
      <c r="M55" t="str">
        <f>IF(tblVendas[[#This Row],[categoria]]="", "Outros", tblVendas[[#This Row],[categoria]])</f>
        <v>Calçados</v>
      </c>
      <c r="N55">
        <f>IF(tblVendas[[#This Row],[valor_total]]&lt;0, MEDIAN(tblVendas[valor_total]), tblVendas[[#This Row],[valor_total]])</f>
        <v>364</v>
      </c>
    </row>
    <row r="56" spans="1:14" x14ac:dyDescent="0.25">
      <c r="A56" s="1">
        <v>45344</v>
      </c>
      <c r="B56">
        <v>2024</v>
      </c>
      <c r="C56">
        <v>2</v>
      </c>
      <c r="D56">
        <v>1</v>
      </c>
      <c r="E56" t="s">
        <v>30</v>
      </c>
      <c r="F56" t="s">
        <v>23</v>
      </c>
      <c r="G56" t="s">
        <v>20</v>
      </c>
      <c r="H56" t="s">
        <v>21</v>
      </c>
      <c r="I56">
        <v>9</v>
      </c>
      <c r="J56">
        <v>120</v>
      </c>
      <c r="K56">
        <v>1080</v>
      </c>
      <c r="L56" t="str">
        <f>IF(tblVendas[[#This Row],[regiao]]="", "Não informado", tblVendas[[#This Row],[regiao]])</f>
        <v>Centro-Oeste</v>
      </c>
      <c r="M56" t="str">
        <f>IF(tblVendas[[#This Row],[categoria]]="", "Outros", tblVendas[[#This Row],[categoria]])</f>
        <v>Acessórios</v>
      </c>
      <c r="N56">
        <f>IF(tblVendas[[#This Row],[valor_total]]&lt;0, MEDIAN(tblVendas[valor_total]), tblVendas[[#This Row],[valor_total]])</f>
        <v>1080</v>
      </c>
    </row>
    <row r="57" spans="1:14" x14ac:dyDescent="0.25">
      <c r="A57" s="1">
        <v>45631</v>
      </c>
      <c r="B57">
        <v>2024</v>
      </c>
      <c r="C57">
        <v>12</v>
      </c>
      <c r="D57">
        <v>4</v>
      </c>
      <c r="E57" t="s">
        <v>18</v>
      </c>
      <c r="F57" t="s">
        <v>23</v>
      </c>
      <c r="G57" t="s">
        <v>20</v>
      </c>
      <c r="H57" t="s">
        <v>26</v>
      </c>
      <c r="I57">
        <v>16</v>
      </c>
      <c r="J57">
        <v>116</v>
      </c>
      <c r="K57">
        <v>1856</v>
      </c>
      <c r="L57" t="str">
        <f>IF(tblVendas[[#This Row],[regiao]]="", "Não informado", tblVendas[[#This Row],[regiao]])</f>
        <v>Sul</v>
      </c>
      <c r="M57" t="str">
        <f>IF(tblVendas[[#This Row],[categoria]]="", "Outros", tblVendas[[#This Row],[categoria]])</f>
        <v>Acessórios</v>
      </c>
      <c r="N57">
        <f>IF(tblVendas[[#This Row],[valor_total]]&lt;0, MEDIAN(tblVendas[valor_total]), tblVendas[[#This Row],[valor_total]])</f>
        <v>1856</v>
      </c>
    </row>
    <row r="58" spans="1:14" x14ac:dyDescent="0.25">
      <c r="A58" s="1">
        <v>45383</v>
      </c>
      <c r="B58">
        <v>2024</v>
      </c>
      <c r="C58">
        <v>4</v>
      </c>
      <c r="D58">
        <v>2</v>
      </c>
      <c r="E58" t="s">
        <v>11</v>
      </c>
      <c r="F58" t="s">
        <v>19</v>
      </c>
      <c r="G58" t="s">
        <v>28</v>
      </c>
      <c r="H58" t="s">
        <v>26</v>
      </c>
      <c r="I58">
        <v>13</v>
      </c>
      <c r="J58">
        <v>187</v>
      </c>
      <c r="K58">
        <v>2431</v>
      </c>
      <c r="L58" t="str">
        <f>IF(tblVendas[[#This Row],[regiao]]="", "Não informado", tblVendas[[#This Row],[regiao]])</f>
        <v>Sul</v>
      </c>
      <c r="M58" t="str">
        <f>IF(tblVendas[[#This Row],[categoria]]="", "Outros", tblVendas[[#This Row],[categoria]])</f>
        <v>Vestuário</v>
      </c>
      <c r="N58">
        <f>IF(tblVendas[[#This Row],[valor_total]]&lt;0, MEDIAN(tblVendas[valor_total]), tblVendas[[#This Row],[valor_total]])</f>
        <v>2431</v>
      </c>
    </row>
    <row r="59" spans="1:14" x14ac:dyDescent="0.25">
      <c r="A59" s="1">
        <v>45555</v>
      </c>
      <c r="B59">
        <v>2024</v>
      </c>
      <c r="C59">
        <v>9</v>
      </c>
      <c r="D59">
        <v>3</v>
      </c>
      <c r="E59" t="s">
        <v>11</v>
      </c>
      <c r="F59" t="s">
        <v>23</v>
      </c>
      <c r="G59" t="s">
        <v>13</v>
      </c>
      <c r="H59" t="s">
        <v>29</v>
      </c>
      <c r="I59">
        <v>9</v>
      </c>
      <c r="J59">
        <v>113</v>
      </c>
      <c r="K59">
        <v>1017</v>
      </c>
      <c r="L59" t="str">
        <f>IF(tblVendas[[#This Row],[regiao]]="", "Não informado", tblVendas[[#This Row],[regiao]])</f>
        <v>Oeste</v>
      </c>
      <c r="M59" t="str">
        <f>IF(tblVendas[[#This Row],[categoria]]="", "Outros", tblVendas[[#This Row],[categoria]])</f>
        <v>Acessórios</v>
      </c>
      <c r="N59">
        <f>IF(tblVendas[[#This Row],[valor_total]]&lt;0, MEDIAN(tblVendas[valor_total]), tblVendas[[#This Row],[valor_total]])</f>
        <v>1017</v>
      </c>
    </row>
    <row r="60" spans="1:14" x14ac:dyDescent="0.25">
      <c r="A60" s="1">
        <v>45326</v>
      </c>
      <c r="B60">
        <v>2024</v>
      </c>
      <c r="C60">
        <v>2</v>
      </c>
      <c r="D60">
        <v>1</v>
      </c>
      <c r="E60" t="s">
        <v>32</v>
      </c>
      <c r="F60" t="s">
        <v>12</v>
      </c>
      <c r="G60" t="s">
        <v>13</v>
      </c>
      <c r="H60" t="s">
        <v>21</v>
      </c>
      <c r="I60">
        <v>4</v>
      </c>
      <c r="J60">
        <v>111</v>
      </c>
      <c r="K60">
        <v>444</v>
      </c>
      <c r="L60" t="str">
        <f>IF(tblVendas[[#This Row],[regiao]]="", "Não informado", tblVendas[[#This Row],[regiao]])</f>
        <v>Centro-Oeste</v>
      </c>
      <c r="M60" t="str">
        <f>IF(tblVendas[[#This Row],[categoria]]="", "Outros", tblVendas[[#This Row],[categoria]])</f>
        <v>Calçados</v>
      </c>
      <c r="N60">
        <f>IF(tblVendas[[#This Row],[valor_total]]&lt;0, MEDIAN(tblVendas[valor_total]), tblVendas[[#This Row],[valor_total]])</f>
        <v>444</v>
      </c>
    </row>
    <row r="61" spans="1:14" x14ac:dyDescent="0.25">
      <c r="A61" s="1">
        <v>45497</v>
      </c>
      <c r="B61">
        <v>2024</v>
      </c>
      <c r="C61">
        <v>7</v>
      </c>
      <c r="D61">
        <v>3</v>
      </c>
      <c r="E61" t="s">
        <v>27</v>
      </c>
      <c r="F61" t="s">
        <v>12</v>
      </c>
      <c r="G61" t="s">
        <v>16</v>
      </c>
      <c r="H61" t="s">
        <v>21</v>
      </c>
      <c r="I61">
        <v>10</v>
      </c>
      <c r="J61">
        <v>175</v>
      </c>
      <c r="K61">
        <v>1750</v>
      </c>
      <c r="L61" t="str">
        <f>IF(tblVendas[[#This Row],[regiao]]="", "Não informado", tblVendas[[#This Row],[regiao]])</f>
        <v>Centro-Oeste</v>
      </c>
      <c r="M61" t="str">
        <f>IF(tblVendas[[#This Row],[categoria]]="", "Outros", tblVendas[[#This Row],[categoria]])</f>
        <v>Calçados</v>
      </c>
      <c r="N61">
        <f>IF(tblVendas[[#This Row],[valor_total]]&lt;0, MEDIAN(tblVendas[valor_total]), tblVendas[[#This Row],[valor_total]])</f>
        <v>1750</v>
      </c>
    </row>
    <row r="62" spans="1:14" x14ac:dyDescent="0.25">
      <c r="A62" s="1">
        <v>45372</v>
      </c>
      <c r="B62">
        <v>2024</v>
      </c>
      <c r="C62">
        <v>3</v>
      </c>
      <c r="D62">
        <v>1</v>
      </c>
      <c r="E62" t="s">
        <v>32</v>
      </c>
      <c r="F62" t="s">
        <v>12</v>
      </c>
      <c r="G62" t="s">
        <v>16</v>
      </c>
      <c r="H62" t="s">
        <v>26</v>
      </c>
      <c r="I62">
        <v>12</v>
      </c>
      <c r="J62">
        <v>97</v>
      </c>
      <c r="K62">
        <v>1164</v>
      </c>
      <c r="L62" t="str">
        <f>IF(tblVendas[[#This Row],[regiao]]="", "Não informado", tblVendas[[#This Row],[regiao]])</f>
        <v>Sul</v>
      </c>
      <c r="M62" t="str">
        <f>IF(tblVendas[[#This Row],[categoria]]="", "Outros", tblVendas[[#This Row],[categoria]])</f>
        <v>Calçados</v>
      </c>
      <c r="N62">
        <f>IF(tblVendas[[#This Row],[valor_total]]&lt;0, MEDIAN(tblVendas[valor_total]), tblVendas[[#This Row],[valor_total]])</f>
        <v>1164</v>
      </c>
    </row>
    <row r="63" spans="1:14" x14ac:dyDescent="0.25">
      <c r="A63" s="1">
        <v>45341</v>
      </c>
      <c r="B63">
        <v>2024</v>
      </c>
      <c r="C63">
        <v>2</v>
      </c>
      <c r="D63">
        <v>1</v>
      </c>
      <c r="E63" t="s">
        <v>18</v>
      </c>
      <c r="F63" t="s">
        <v>12</v>
      </c>
      <c r="G63" t="s">
        <v>28</v>
      </c>
      <c r="H63" t="s">
        <v>14</v>
      </c>
      <c r="I63">
        <v>17</v>
      </c>
      <c r="J63">
        <v>190</v>
      </c>
      <c r="K63">
        <v>3230</v>
      </c>
      <c r="L63" t="str">
        <f>IF(tblVendas[[#This Row],[regiao]]="", "Não informado", tblVendas[[#This Row],[regiao]])</f>
        <v>Norte</v>
      </c>
      <c r="M63" t="str">
        <f>IF(tblVendas[[#This Row],[categoria]]="", "Outros", tblVendas[[#This Row],[categoria]])</f>
        <v>Calçados</v>
      </c>
      <c r="N63">
        <f>IF(tblVendas[[#This Row],[valor_total]]&lt;0, MEDIAN(tblVendas[valor_total]), tblVendas[[#This Row],[valor_total]])</f>
        <v>3230</v>
      </c>
    </row>
    <row r="64" spans="1:14" x14ac:dyDescent="0.25">
      <c r="A64" s="1">
        <v>45651</v>
      </c>
      <c r="B64">
        <v>2024</v>
      </c>
      <c r="C64">
        <v>12</v>
      </c>
      <c r="D64">
        <v>4</v>
      </c>
      <c r="E64" t="s">
        <v>18</v>
      </c>
      <c r="F64" t="s">
        <v>23</v>
      </c>
      <c r="G64" t="s">
        <v>28</v>
      </c>
      <c r="H64" t="s">
        <v>29</v>
      </c>
      <c r="I64">
        <v>14</v>
      </c>
      <c r="J64">
        <v>156</v>
      </c>
      <c r="K64">
        <v>2184</v>
      </c>
      <c r="L64" t="str">
        <f>IF(tblVendas[[#This Row],[regiao]]="", "Não informado", tblVendas[[#This Row],[regiao]])</f>
        <v>Oeste</v>
      </c>
      <c r="M64" t="str">
        <f>IF(tblVendas[[#This Row],[categoria]]="", "Outros", tblVendas[[#This Row],[categoria]])</f>
        <v>Acessórios</v>
      </c>
      <c r="N64">
        <f>IF(tblVendas[[#This Row],[valor_total]]&lt;0, MEDIAN(tblVendas[valor_total]), tblVendas[[#This Row],[valor_total]])</f>
        <v>2184</v>
      </c>
    </row>
    <row r="65" spans="1:14" x14ac:dyDescent="0.25">
      <c r="A65" s="1">
        <v>45293</v>
      </c>
      <c r="B65">
        <v>2024</v>
      </c>
      <c r="C65">
        <v>1</v>
      </c>
      <c r="D65">
        <v>1</v>
      </c>
      <c r="E65" t="s">
        <v>22</v>
      </c>
      <c r="F65" t="s">
        <v>23</v>
      </c>
      <c r="G65" t="s">
        <v>24</v>
      </c>
      <c r="H65" t="s">
        <v>21</v>
      </c>
      <c r="I65">
        <v>14</v>
      </c>
      <c r="J65">
        <v>193</v>
      </c>
      <c r="K65">
        <v>2702</v>
      </c>
      <c r="L65" t="str">
        <f>IF(tblVendas[[#This Row],[regiao]]="", "Não informado", tblVendas[[#This Row],[regiao]])</f>
        <v>Centro-Oeste</v>
      </c>
      <c r="M65" t="str">
        <f>IF(tblVendas[[#This Row],[categoria]]="", "Outros", tblVendas[[#This Row],[categoria]])</f>
        <v>Acessórios</v>
      </c>
      <c r="N65">
        <f>IF(tblVendas[[#This Row],[valor_total]]&lt;0, MEDIAN(tblVendas[valor_total]), tblVendas[[#This Row],[valor_total]])</f>
        <v>2702</v>
      </c>
    </row>
    <row r="66" spans="1:14" x14ac:dyDescent="0.25">
      <c r="A66" s="1">
        <v>45345</v>
      </c>
      <c r="B66">
        <v>2024</v>
      </c>
      <c r="C66">
        <v>2</v>
      </c>
      <c r="D66">
        <v>1</v>
      </c>
      <c r="E66" t="s">
        <v>32</v>
      </c>
      <c r="F66" t="s">
        <v>12</v>
      </c>
      <c r="G66" t="s">
        <v>16</v>
      </c>
      <c r="H66" t="s">
        <v>26</v>
      </c>
      <c r="I66">
        <v>2</v>
      </c>
      <c r="J66">
        <v>111</v>
      </c>
      <c r="K66">
        <v>222</v>
      </c>
      <c r="L66" t="str">
        <f>IF(tblVendas[[#This Row],[regiao]]="", "Não informado", tblVendas[[#This Row],[regiao]])</f>
        <v>Sul</v>
      </c>
      <c r="M66" t="str">
        <f>IF(tblVendas[[#This Row],[categoria]]="", "Outros", tblVendas[[#This Row],[categoria]])</f>
        <v>Calçados</v>
      </c>
      <c r="N66">
        <f>IF(tblVendas[[#This Row],[valor_total]]&lt;0, MEDIAN(tblVendas[valor_total]), tblVendas[[#This Row],[valor_total]])</f>
        <v>222</v>
      </c>
    </row>
    <row r="67" spans="1:14" x14ac:dyDescent="0.25">
      <c r="A67" s="1">
        <v>45397</v>
      </c>
      <c r="B67">
        <v>2024</v>
      </c>
      <c r="C67">
        <v>4</v>
      </c>
      <c r="D67">
        <v>2</v>
      </c>
      <c r="E67" t="s">
        <v>33</v>
      </c>
      <c r="F67" t="s">
        <v>12</v>
      </c>
      <c r="G67" t="s">
        <v>20</v>
      </c>
      <c r="H67" t="s">
        <v>21</v>
      </c>
      <c r="I67">
        <v>11</v>
      </c>
      <c r="J67">
        <v>176</v>
      </c>
      <c r="K67">
        <v>1936</v>
      </c>
      <c r="L67" t="str">
        <f>IF(tblVendas[[#This Row],[regiao]]="", "Não informado", tblVendas[[#This Row],[regiao]])</f>
        <v>Centro-Oeste</v>
      </c>
      <c r="M67" t="str">
        <f>IF(tblVendas[[#This Row],[categoria]]="", "Outros", tblVendas[[#This Row],[categoria]])</f>
        <v>Calçados</v>
      </c>
      <c r="N67">
        <f>IF(tblVendas[[#This Row],[valor_total]]&lt;0, MEDIAN(tblVendas[valor_total]), tblVendas[[#This Row],[valor_total]])</f>
        <v>1936</v>
      </c>
    </row>
    <row r="68" spans="1:14" x14ac:dyDescent="0.25">
      <c r="A68" s="1">
        <v>45551</v>
      </c>
      <c r="B68">
        <v>2024</v>
      </c>
      <c r="C68">
        <v>9</v>
      </c>
      <c r="D68">
        <v>3</v>
      </c>
      <c r="E68" t="s">
        <v>27</v>
      </c>
      <c r="F68" t="s">
        <v>23</v>
      </c>
      <c r="G68" t="s">
        <v>13</v>
      </c>
      <c r="H68" t="s">
        <v>29</v>
      </c>
      <c r="I68">
        <v>16</v>
      </c>
      <c r="J68">
        <v>185</v>
      </c>
      <c r="K68">
        <v>2960</v>
      </c>
      <c r="L68" t="str">
        <f>IF(tblVendas[[#This Row],[regiao]]="", "Não informado", tblVendas[[#This Row],[regiao]])</f>
        <v>Oeste</v>
      </c>
      <c r="M68" t="str">
        <f>IF(tblVendas[[#This Row],[categoria]]="", "Outros", tblVendas[[#This Row],[categoria]])</f>
        <v>Acessórios</v>
      </c>
      <c r="N68">
        <f>IF(tblVendas[[#This Row],[valor_total]]&lt;0, MEDIAN(tblVendas[valor_total]), tblVendas[[#This Row],[valor_total]])</f>
        <v>2960</v>
      </c>
    </row>
    <row r="69" spans="1:14" x14ac:dyDescent="0.25">
      <c r="A69" s="1">
        <v>45601</v>
      </c>
      <c r="B69">
        <v>2024</v>
      </c>
      <c r="C69">
        <v>11</v>
      </c>
      <c r="D69">
        <v>4</v>
      </c>
      <c r="E69" t="s">
        <v>18</v>
      </c>
      <c r="F69" t="s">
        <v>12</v>
      </c>
      <c r="G69" t="s">
        <v>28</v>
      </c>
      <c r="H69" t="s">
        <v>29</v>
      </c>
      <c r="I69">
        <v>19</v>
      </c>
      <c r="J69">
        <v>197</v>
      </c>
      <c r="K69">
        <v>3743</v>
      </c>
      <c r="L69" t="str">
        <f>IF(tblVendas[[#This Row],[regiao]]="", "Não informado", tblVendas[[#This Row],[regiao]])</f>
        <v>Oeste</v>
      </c>
      <c r="M69" t="str">
        <f>IF(tblVendas[[#This Row],[categoria]]="", "Outros", tblVendas[[#This Row],[categoria]])</f>
        <v>Calçados</v>
      </c>
      <c r="N69">
        <f>IF(tblVendas[[#This Row],[valor_total]]&lt;0, MEDIAN(tblVendas[valor_total]), tblVendas[[#This Row],[valor_total]])</f>
        <v>3743</v>
      </c>
    </row>
    <row r="70" spans="1:14" x14ac:dyDescent="0.25">
      <c r="A70" s="1">
        <v>45482</v>
      </c>
      <c r="B70">
        <v>2024</v>
      </c>
      <c r="C70">
        <v>7</v>
      </c>
      <c r="D70">
        <v>3</v>
      </c>
      <c r="E70" t="s">
        <v>22</v>
      </c>
      <c r="F70" t="s">
        <v>19</v>
      </c>
      <c r="G70" t="s">
        <v>13</v>
      </c>
      <c r="H70" t="s">
        <v>17</v>
      </c>
      <c r="I70">
        <v>6</v>
      </c>
      <c r="J70">
        <v>113</v>
      </c>
      <c r="K70">
        <v>678</v>
      </c>
      <c r="L70" t="str">
        <f>IF(tblVendas[[#This Row],[regiao]]="", "Não informado", tblVendas[[#This Row],[regiao]])</f>
        <v>Leste</v>
      </c>
      <c r="M70" t="str">
        <f>IF(tblVendas[[#This Row],[categoria]]="", "Outros", tblVendas[[#This Row],[categoria]])</f>
        <v>Vestuário</v>
      </c>
      <c r="N70">
        <f>IF(tblVendas[[#This Row],[valor_total]]&lt;0, MEDIAN(tblVendas[valor_total]), tblVendas[[#This Row],[valor_total]])</f>
        <v>678</v>
      </c>
    </row>
    <row r="71" spans="1:14" x14ac:dyDescent="0.25">
      <c r="A71" s="1">
        <v>45509</v>
      </c>
      <c r="B71">
        <v>2024</v>
      </c>
      <c r="C71">
        <v>8</v>
      </c>
      <c r="D71">
        <v>3</v>
      </c>
      <c r="E71" t="s">
        <v>32</v>
      </c>
      <c r="F71" t="s">
        <v>12</v>
      </c>
      <c r="G71" t="s">
        <v>13</v>
      </c>
      <c r="H71" t="s">
        <v>26</v>
      </c>
      <c r="I71">
        <v>19</v>
      </c>
      <c r="J71">
        <v>142</v>
      </c>
      <c r="K71">
        <v>2698</v>
      </c>
      <c r="L71" t="str">
        <f>IF(tblVendas[[#This Row],[regiao]]="", "Não informado", tblVendas[[#This Row],[regiao]])</f>
        <v>Sul</v>
      </c>
      <c r="M71" t="str">
        <f>IF(tblVendas[[#This Row],[categoria]]="", "Outros", tblVendas[[#This Row],[categoria]])</f>
        <v>Calçados</v>
      </c>
      <c r="N71">
        <f>IF(tblVendas[[#This Row],[valor_total]]&lt;0, MEDIAN(tblVendas[valor_total]), tblVendas[[#This Row],[valor_total]])</f>
        <v>2698</v>
      </c>
    </row>
    <row r="72" spans="1:14" x14ac:dyDescent="0.25">
      <c r="A72" s="1">
        <v>45335</v>
      </c>
      <c r="B72">
        <v>2024</v>
      </c>
      <c r="C72">
        <v>2</v>
      </c>
      <c r="D72">
        <v>1</v>
      </c>
      <c r="E72" t="s">
        <v>27</v>
      </c>
      <c r="F72" t="s">
        <v>12</v>
      </c>
      <c r="G72" t="s">
        <v>24</v>
      </c>
      <c r="H72" t="s">
        <v>29</v>
      </c>
      <c r="I72">
        <v>5</v>
      </c>
      <c r="J72">
        <v>105</v>
      </c>
      <c r="K72">
        <v>525</v>
      </c>
      <c r="L72" t="str">
        <f>IF(tblVendas[[#This Row],[regiao]]="", "Não informado", tblVendas[[#This Row],[regiao]])</f>
        <v>Oeste</v>
      </c>
      <c r="M72" t="str">
        <f>IF(tblVendas[[#This Row],[categoria]]="", "Outros", tblVendas[[#This Row],[categoria]])</f>
        <v>Calçados</v>
      </c>
      <c r="N72">
        <f>IF(tblVendas[[#This Row],[valor_total]]&lt;0, MEDIAN(tblVendas[valor_total]), tblVendas[[#This Row],[valor_total]])</f>
        <v>525</v>
      </c>
    </row>
    <row r="73" spans="1:14" x14ac:dyDescent="0.25">
      <c r="A73" s="1">
        <v>45453</v>
      </c>
      <c r="B73">
        <v>2024</v>
      </c>
      <c r="C73">
        <v>6</v>
      </c>
      <c r="D73">
        <v>2</v>
      </c>
      <c r="E73" t="s">
        <v>32</v>
      </c>
      <c r="F73" t="s">
        <v>19</v>
      </c>
      <c r="G73" t="s">
        <v>16</v>
      </c>
      <c r="H73" t="s">
        <v>17</v>
      </c>
      <c r="I73">
        <v>4</v>
      </c>
      <c r="J73">
        <v>151</v>
      </c>
      <c r="K73">
        <v>604</v>
      </c>
      <c r="L73" t="str">
        <f>IF(tblVendas[[#This Row],[regiao]]="", "Não informado", tblVendas[[#This Row],[regiao]])</f>
        <v>Leste</v>
      </c>
      <c r="M73" t="str">
        <f>IF(tblVendas[[#This Row],[categoria]]="", "Outros", tblVendas[[#This Row],[categoria]])</f>
        <v>Vestuário</v>
      </c>
      <c r="N73">
        <f>IF(tblVendas[[#This Row],[valor_total]]&lt;0, MEDIAN(tblVendas[valor_total]), tblVendas[[#This Row],[valor_total]])</f>
        <v>604</v>
      </c>
    </row>
    <row r="74" spans="1:14" x14ac:dyDescent="0.25">
      <c r="A74" s="1">
        <v>45493</v>
      </c>
      <c r="B74">
        <v>2024</v>
      </c>
      <c r="C74">
        <v>7</v>
      </c>
      <c r="D74">
        <v>3</v>
      </c>
      <c r="E74" t="s">
        <v>11</v>
      </c>
      <c r="F74" t="s">
        <v>19</v>
      </c>
      <c r="G74" t="s">
        <v>28</v>
      </c>
      <c r="H74" t="s">
        <v>17</v>
      </c>
      <c r="I74">
        <v>15</v>
      </c>
      <c r="J74">
        <v>172</v>
      </c>
      <c r="K74">
        <v>2580</v>
      </c>
      <c r="L74" t="str">
        <f>IF(tblVendas[[#This Row],[regiao]]="", "Não informado", tblVendas[[#This Row],[regiao]])</f>
        <v>Leste</v>
      </c>
      <c r="M74" t="str">
        <f>IF(tblVendas[[#This Row],[categoria]]="", "Outros", tblVendas[[#This Row],[categoria]])</f>
        <v>Vestuário</v>
      </c>
      <c r="N74">
        <f>IF(tblVendas[[#This Row],[valor_total]]&lt;0, MEDIAN(tblVendas[valor_total]), tblVendas[[#This Row],[valor_total]])</f>
        <v>2580</v>
      </c>
    </row>
    <row r="75" spans="1:14" x14ac:dyDescent="0.25">
      <c r="A75" s="1">
        <v>45561</v>
      </c>
      <c r="B75">
        <v>2024</v>
      </c>
      <c r="C75">
        <v>9</v>
      </c>
      <c r="D75">
        <v>3</v>
      </c>
      <c r="E75" t="s">
        <v>22</v>
      </c>
      <c r="F75" t="s">
        <v>23</v>
      </c>
      <c r="G75" t="s">
        <v>13</v>
      </c>
      <c r="H75" t="s">
        <v>21</v>
      </c>
      <c r="I75">
        <v>4</v>
      </c>
      <c r="J75">
        <v>70</v>
      </c>
      <c r="K75">
        <v>280</v>
      </c>
      <c r="L75" t="str">
        <f>IF(tblVendas[[#This Row],[regiao]]="", "Não informado", tblVendas[[#This Row],[regiao]])</f>
        <v>Centro-Oeste</v>
      </c>
      <c r="M75" t="str">
        <f>IF(tblVendas[[#This Row],[categoria]]="", "Outros", tblVendas[[#This Row],[categoria]])</f>
        <v>Acessórios</v>
      </c>
      <c r="N75">
        <f>IF(tblVendas[[#This Row],[valor_total]]&lt;0, MEDIAN(tblVendas[valor_total]), tblVendas[[#This Row],[valor_total]])</f>
        <v>280</v>
      </c>
    </row>
    <row r="76" spans="1:14" x14ac:dyDescent="0.25">
      <c r="A76" s="1">
        <v>45642</v>
      </c>
      <c r="B76">
        <v>2024</v>
      </c>
      <c r="C76">
        <v>12</v>
      </c>
      <c r="D76">
        <v>4</v>
      </c>
      <c r="E76" t="s">
        <v>27</v>
      </c>
      <c r="F76" t="s">
        <v>23</v>
      </c>
      <c r="G76" t="s">
        <v>28</v>
      </c>
      <c r="H76" t="s">
        <v>21</v>
      </c>
      <c r="I76">
        <v>10</v>
      </c>
      <c r="J76">
        <v>196</v>
      </c>
      <c r="K76">
        <v>1960</v>
      </c>
      <c r="L76" t="str">
        <f>IF(tblVendas[[#This Row],[regiao]]="", "Não informado", tblVendas[[#This Row],[regiao]])</f>
        <v>Centro-Oeste</v>
      </c>
      <c r="M76" t="str">
        <f>IF(tblVendas[[#This Row],[categoria]]="", "Outros", tblVendas[[#This Row],[categoria]])</f>
        <v>Acessórios</v>
      </c>
      <c r="N76">
        <f>IF(tblVendas[[#This Row],[valor_total]]&lt;0, MEDIAN(tblVendas[valor_total]), tblVendas[[#This Row],[valor_total]])</f>
        <v>1960</v>
      </c>
    </row>
    <row r="77" spans="1:14" x14ac:dyDescent="0.25">
      <c r="A77" s="1">
        <v>45595</v>
      </c>
      <c r="B77">
        <v>2024</v>
      </c>
      <c r="C77">
        <v>10</v>
      </c>
      <c r="D77">
        <v>4</v>
      </c>
      <c r="E77" t="s">
        <v>31</v>
      </c>
      <c r="F77" t="s">
        <v>19</v>
      </c>
      <c r="G77" t="s">
        <v>20</v>
      </c>
      <c r="H77" t="s">
        <v>17</v>
      </c>
      <c r="I77">
        <v>3</v>
      </c>
      <c r="J77">
        <v>31</v>
      </c>
      <c r="K77">
        <v>93</v>
      </c>
      <c r="L77" t="str">
        <f>IF(tblVendas[[#This Row],[regiao]]="", "Não informado", tblVendas[[#This Row],[regiao]])</f>
        <v>Leste</v>
      </c>
      <c r="M77" t="str">
        <f>IF(tblVendas[[#This Row],[categoria]]="", "Outros", tblVendas[[#This Row],[categoria]])</f>
        <v>Vestuário</v>
      </c>
      <c r="N77">
        <f>IF(tblVendas[[#This Row],[valor_total]]&lt;0, MEDIAN(tblVendas[valor_total]), tblVendas[[#This Row],[valor_total]])</f>
        <v>93</v>
      </c>
    </row>
    <row r="78" spans="1:14" x14ac:dyDescent="0.25">
      <c r="A78" s="1">
        <v>45562</v>
      </c>
      <c r="B78">
        <v>2024</v>
      </c>
      <c r="C78">
        <v>9</v>
      </c>
      <c r="D78">
        <v>3</v>
      </c>
      <c r="E78" t="s">
        <v>30</v>
      </c>
      <c r="F78" t="s">
        <v>19</v>
      </c>
      <c r="G78" t="s">
        <v>24</v>
      </c>
      <c r="H78" t="s">
        <v>21</v>
      </c>
      <c r="I78">
        <v>5</v>
      </c>
      <c r="J78">
        <v>58</v>
      </c>
      <c r="K78">
        <v>290</v>
      </c>
      <c r="L78" t="str">
        <f>IF(tblVendas[[#This Row],[regiao]]="", "Não informado", tblVendas[[#This Row],[regiao]])</f>
        <v>Centro-Oeste</v>
      </c>
      <c r="M78" t="str">
        <f>IF(tblVendas[[#This Row],[categoria]]="", "Outros", tblVendas[[#This Row],[categoria]])</f>
        <v>Vestuário</v>
      </c>
      <c r="N78">
        <f>IF(tblVendas[[#This Row],[valor_total]]&lt;0, MEDIAN(tblVendas[valor_total]), tblVendas[[#This Row],[valor_total]])</f>
        <v>290</v>
      </c>
    </row>
    <row r="79" spans="1:14" x14ac:dyDescent="0.25">
      <c r="A79" s="1">
        <v>45506</v>
      </c>
      <c r="B79">
        <v>2024</v>
      </c>
      <c r="C79">
        <v>8</v>
      </c>
      <c r="D79">
        <v>3</v>
      </c>
      <c r="E79" t="s">
        <v>30</v>
      </c>
      <c r="F79" t="s">
        <v>23</v>
      </c>
      <c r="G79" t="s">
        <v>20</v>
      </c>
      <c r="H79" t="s">
        <v>29</v>
      </c>
      <c r="I79">
        <v>6</v>
      </c>
      <c r="J79">
        <v>134</v>
      </c>
      <c r="K79">
        <v>804</v>
      </c>
      <c r="L79" t="str">
        <f>IF(tblVendas[[#This Row],[regiao]]="", "Não informado", tblVendas[[#This Row],[regiao]])</f>
        <v>Oeste</v>
      </c>
      <c r="M79" t="str">
        <f>IF(tblVendas[[#This Row],[categoria]]="", "Outros", tblVendas[[#This Row],[categoria]])</f>
        <v>Acessórios</v>
      </c>
      <c r="N79">
        <f>IF(tblVendas[[#This Row],[valor_total]]&lt;0, MEDIAN(tblVendas[valor_total]), tblVendas[[#This Row],[valor_total]])</f>
        <v>804</v>
      </c>
    </row>
    <row r="80" spans="1:14" x14ac:dyDescent="0.25">
      <c r="A80" s="1">
        <v>45543</v>
      </c>
      <c r="B80">
        <v>2024</v>
      </c>
      <c r="C80">
        <v>9</v>
      </c>
      <c r="D80">
        <v>3</v>
      </c>
      <c r="E80" t="s">
        <v>27</v>
      </c>
      <c r="F80" t="s">
        <v>12</v>
      </c>
      <c r="G80" t="s">
        <v>28</v>
      </c>
      <c r="H80" t="s">
        <v>14</v>
      </c>
      <c r="I80">
        <v>8</v>
      </c>
      <c r="J80">
        <v>80</v>
      </c>
      <c r="K80">
        <v>640</v>
      </c>
      <c r="L80" t="str">
        <f>IF(tblVendas[[#This Row],[regiao]]="", "Não informado", tblVendas[[#This Row],[regiao]])</f>
        <v>Norte</v>
      </c>
      <c r="M80" t="str">
        <f>IF(tblVendas[[#This Row],[categoria]]="", "Outros", tblVendas[[#This Row],[categoria]])</f>
        <v>Calçados</v>
      </c>
      <c r="N80">
        <f>IF(tblVendas[[#This Row],[valor_total]]&lt;0, MEDIAN(tblVendas[valor_total]), tblVendas[[#This Row],[valor_total]])</f>
        <v>640</v>
      </c>
    </row>
    <row r="81" spans="1:14" x14ac:dyDescent="0.25">
      <c r="A81" s="1">
        <v>45481</v>
      </c>
      <c r="B81">
        <v>2024</v>
      </c>
      <c r="C81">
        <v>7</v>
      </c>
      <c r="D81">
        <v>3</v>
      </c>
      <c r="E81" t="s">
        <v>32</v>
      </c>
      <c r="F81" t="s">
        <v>19</v>
      </c>
      <c r="G81" t="s">
        <v>28</v>
      </c>
      <c r="H81" t="s">
        <v>29</v>
      </c>
      <c r="I81">
        <v>7</v>
      </c>
      <c r="J81">
        <v>104</v>
      </c>
      <c r="K81">
        <v>728</v>
      </c>
      <c r="L81" t="str">
        <f>IF(tblVendas[[#This Row],[regiao]]="", "Não informado", tblVendas[[#This Row],[regiao]])</f>
        <v>Oeste</v>
      </c>
      <c r="M81" t="str">
        <f>IF(tblVendas[[#This Row],[categoria]]="", "Outros", tblVendas[[#This Row],[categoria]])</f>
        <v>Vestuário</v>
      </c>
      <c r="N81">
        <f>IF(tblVendas[[#This Row],[valor_total]]&lt;0, MEDIAN(tblVendas[valor_total]), tblVendas[[#This Row],[valor_total]])</f>
        <v>728</v>
      </c>
    </row>
    <row r="82" spans="1:14" x14ac:dyDescent="0.25">
      <c r="A82" s="1">
        <v>45587</v>
      </c>
      <c r="B82">
        <v>2024</v>
      </c>
      <c r="C82">
        <v>10</v>
      </c>
      <c r="D82">
        <v>4</v>
      </c>
      <c r="E82" t="s">
        <v>22</v>
      </c>
      <c r="F82" t="s">
        <v>23</v>
      </c>
      <c r="G82" t="s">
        <v>16</v>
      </c>
      <c r="H82" t="s">
        <v>17</v>
      </c>
      <c r="I82">
        <v>10</v>
      </c>
      <c r="J82">
        <v>39</v>
      </c>
      <c r="K82">
        <v>390</v>
      </c>
      <c r="L82" t="str">
        <f>IF(tblVendas[[#This Row],[regiao]]="", "Não informado", tblVendas[[#This Row],[regiao]])</f>
        <v>Leste</v>
      </c>
      <c r="M82" t="str">
        <f>IF(tblVendas[[#This Row],[categoria]]="", "Outros", tblVendas[[#This Row],[categoria]])</f>
        <v>Acessórios</v>
      </c>
      <c r="N82">
        <f>IF(tblVendas[[#This Row],[valor_total]]&lt;0, MEDIAN(tblVendas[valor_total]), tblVendas[[#This Row],[valor_total]])</f>
        <v>390</v>
      </c>
    </row>
    <row r="83" spans="1:14" x14ac:dyDescent="0.25">
      <c r="A83" s="1">
        <v>45504</v>
      </c>
      <c r="B83">
        <v>2024</v>
      </c>
      <c r="C83">
        <v>7</v>
      </c>
      <c r="D83">
        <v>3</v>
      </c>
      <c r="E83" t="s">
        <v>30</v>
      </c>
      <c r="F83" t="s">
        <v>12</v>
      </c>
      <c r="G83" t="s">
        <v>13</v>
      </c>
      <c r="H83" t="s">
        <v>17</v>
      </c>
      <c r="I83">
        <v>6</v>
      </c>
      <c r="J83">
        <v>171</v>
      </c>
      <c r="K83">
        <v>1026</v>
      </c>
      <c r="L83" t="str">
        <f>IF(tblVendas[[#This Row],[regiao]]="", "Não informado", tblVendas[[#This Row],[regiao]])</f>
        <v>Leste</v>
      </c>
      <c r="M83" t="str">
        <f>IF(tblVendas[[#This Row],[categoria]]="", "Outros", tblVendas[[#This Row],[categoria]])</f>
        <v>Calçados</v>
      </c>
      <c r="N83">
        <f>IF(tblVendas[[#This Row],[valor_total]]&lt;0, MEDIAN(tblVendas[valor_total]), tblVendas[[#This Row],[valor_total]])</f>
        <v>1026</v>
      </c>
    </row>
    <row r="84" spans="1:14" x14ac:dyDescent="0.25">
      <c r="A84" s="1">
        <v>45499</v>
      </c>
      <c r="B84">
        <v>2024</v>
      </c>
      <c r="C84">
        <v>7</v>
      </c>
      <c r="D84">
        <v>3</v>
      </c>
      <c r="E84" t="s">
        <v>22</v>
      </c>
      <c r="F84" t="s">
        <v>19</v>
      </c>
      <c r="G84" t="s">
        <v>13</v>
      </c>
      <c r="H84" t="s">
        <v>29</v>
      </c>
      <c r="I84">
        <v>14</v>
      </c>
      <c r="J84">
        <v>80</v>
      </c>
      <c r="K84">
        <v>1120</v>
      </c>
      <c r="L84" t="str">
        <f>IF(tblVendas[[#This Row],[regiao]]="", "Não informado", tblVendas[[#This Row],[regiao]])</f>
        <v>Oeste</v>
      </c>
      <c r="M84" t="str">
        <f>IF(tblVendas[[#This Row],[categoria]]="", "Outros", tblVendas[[#This Row],[categoria]])</f>
        <v>Vestuário</v>
      </c>
      <c r="N84">
        <f>IF(tblVendas[[#This Row],[valor_total]]&lt;0, MEDIAN(tblVendas[valor_total]), tblVendas[[#This Row],[valor_total]])</f>
        <v>1120</v>
      </c>
    </row>
    <row r="85" spans="1:14" x14ac:dyDescent="0.25">
      <c r="A85" s="1">
        <v>45528</v>
      </c>
      <c r="B85">
        <v>2024</v>
      </c>
      <c r="C85">
        <v>8</v>
      </c>
      <c r="D85">
        <v>3</v>
      </c>
      <c r="E85" t="s">
        <v>30</v>
      </c>
      <c r="F85" t="s">
        <v>12</v>
      </c>
      <c r="G85" t="s">
        <v>20</v>
      </c>
      <c r="H85" t="s">
        <v>21</v>
      </c>
      <c r="I85">
        <v>4</v>
      </c>
      <c r="J85">
        <v>147</v>
      </c>
      <c r="K85">
        <v>588</v>
      </c>
      <c r="L85" t="str">
        <f>IF(tblVendas[[#This Row],[regiao]]="", "Não informado", tblVendas[[#This Row],[regiao]])</f>
        <v>Centro-Oeste</v>
      </c>
      <c r="M85" t="str">
        <f>IF(tblVendas[[#This Row],[categoria]]="", "Outros", tblVendas[[#This Row],[categoria]])</f>
        <v>Calçados</v>
      </c>
      <c r="N85">
        <f>IF(tblVendas[[#This Row],[valor_total]]&lt;0, MEDIAN(tblVendas[valor_total]), tblVendas[[#This Row],[valor_total]])</f>
        <v>588</v>
      </c>
    </row>
    <row r="86" spans="1:14" x14ac:dyDescent="0.25">
      <c r="A86" s="1">
        <v>45629</v>
      </c>
      <c r="B86">
        <v>2024</v>
      </c>
      <c r="C86">
        <v>12</v>
      </c>
      <c r="D86">
        <v>4</v>
      </c>
      <c r="E86" t="s">
        <v>11</v>
      </c>
      <c r="F86" t="s">
        <v>23</v>
      </c>
      <c r="G86" t="s">
        <v>24</v>
      </c>
      <c r="H86" t="s">
        <v>21</v>
      </c>
      <c r="I86">
        <v>13</v>
      </c>
      <c r="J86">
        <v>150</v>
      </c>
      <c r="K86">
        <v>1950</v>
      </c>
      <c r="L86" t="str">
        <f>IF(tblVendas[[#This Row],[regiao]]="", "Não informado", tblVendas[[#This Row],[regiao]])</f>
        <v>Centro-Oeste</v>
      </c>
      <c r="M86" t="str">
        <f>IF(tblVendas[[#This Row],[categoria]]="", "Outros", tblVendas[[#This Row],[categoria]])</f>
        <v>Acessórios</v>
      </c>
      <c r="N86">
        <f>IF(tblVendas[[#This Row],[valor_total]]&lt;0, MEDIAN(tblVendas[valor_total]), tblVendas[[#This Row],[valor_total]])</f>
        <v>1950</v>
      </c>
    </row>
    <row r="87" spans="1:14" x14ac:dyDescent="0.25">
      <c r="A87" s="1">
        <v>45344</v>
      </c>
      <c r="B87">
        <v>2024</v>
      </c>
      <c r="C87">
        <v>2</v>
      </c>
      <c r="D87">
        <v>1</v>
      </c>
      <c r="E87" t="s">
        <v>32</v>
      </c>
      <c r="F87" t="s">
        <v>19</v>
      </c>
      <c r="G87" t="s">
        <v>13</v>
      </c>
      <c r="H87" t="s">
        <v>17</v>
      </c>
      <c r="I87">
        <v>17</v>
      </c>
      <c r="J87">
        <v>68</v>
      </c>
      <c r="K87">
        <v>1156</v>
      </c>
      <c r="L87" t="str">
        <f>IF(tblVendas[[#This Row],[regiao]]="", "Não informado", tblVendas[[#This Row],[regiao]])</f>
        <v>Leste</v>
      </c>
      <c r="M87" t="str">
        <f>IF(tblVendas[[#This Row],[categoria]]="", "Outros", tblVendas[[#This Row],[categoria]])</f>
        <v>Vestuário</v>
      </c>
      <c r="N87">
        <f>IF(tblVendas[[#This Row],[valor_total]]&lt;0, MEDIAN(tblVendas[valor_total]), tblVendas[[#This Row],[valor_total]])</f>
        <v>1156</v>
      </c>
    </row>
    <row r="88" spans="1:14" x14ac:dyDescent="0.25">
      <c r="A88" s="1">
        <v>45571</v>
      </c>
      <c r="B88">
        <v>2024</v>
      </c>
      <c r="C88">
        <v>10</v>
      </c>
      <c r="D88">
        <v>4</v>
      </c>
      <c r="E88" t="s">
        <v>11</v>
      </c>
      <c r="F88" t="s">
        <v>12</v>
      </c>
      <c r="G88" t="s">
        <v>16</v>
      </c>
      <c r="H88" t="s">
        <v>26</v>
      </c>
      <c r="I88">
        <v>7</v>
      </c>
      <c r="J88">
        <v>57</v>
      </c>
      <c r="K88">
        <v>399</v>
      </c>
      <c r="L88" t="str">
        <f>IF(tblVendas[[#This Row],[regiao]]="", "Não informado", tblVendas[[#This Row],[regiao]])</f>
        <v>Sul</v>
      </c>
      <c r="M88" t="str">
        <f>IF(tblVendas[[#This Row],[categoria]]="", "Outros", tblVendas[[#This Row],[categoria]])</f>
        <v>Calçados</v>
      </c>
      <c r="N88">
        <f>IF(tblVendas[[#This Row],[valor_total]]&lt;0, MEDIAN(tblVendas[valor_total]), tblVendas[[#This Row],[valor_total]])</f>
        <v>399</v>
      </c>
    </row>
    <row r="89" spans="1:14" x14ac:dyDescent="0.25">
      <c r="A89" s="1">
        <v>45508</v>
      </c>
      <c r="B89">
        <v>2024</v>
      </c>
      <c r="C89">
        <v>8</v>
      </c>
      <c r="D89">
        <v>3</v>
      </c>
      <c r="E89" t="s">
        <v>30</v>
      </c>
      <c r="F89" t="s">
        <v>19</v>
      </c>
      <c r="G89" t="s">
        <v>20</v>
      </c>
      <c r="H89" t="s">
        <v>21</v>
      </c>
      <c r="I89">
        <v>4</v>
      </c>
      <c r="J89">
        <v>32</v>
      </c>
      <c r="K89">
        <v>128</v>
      </c>
      <c r="L89" t="str">
        <f>IF(tblVendas[[#This Row],[regiao]]="", "Não informado", tblVendas[[#This Row],[regiao]])</f>
        <v>Centro-Oeste</v>
      </c>
      <c r="M89" t="str">
        <f>IF(tblVendas[[#This Row],[categoria]]="", "Outros", tblVendas[[#This Row],[categoria]])</f>
        <v>Vestuário</v>
      </c>
      <c r="N89">
        <f>IF(tblVendas[[#This Row],[valor_total]]&lt;0, MEDIAN(tblVendas[valor_total]), tblVendas[[#This Row],[valor_total]])</f>
        <v>128</v>
      </c>
    </row>
    <row r="90" spans="1:14" x14ac:dyDescent="0.25">
      <c r="A90" s="1">
        <v>45543</v>
      </c>
      <c r="B90">
        <v>2024</v>
      </c>
      <c r="C90">
        <v>9</v>
      </c>
      <c r="D90">
        <v>3</v>
      </c>
      <c r="E90" t="s">
        <v>31</v>
      </c>
      <c r="F90" t="s">
        <v>12</v>
      </c>
      <c r="G90" t="s">
        <v>20</v>
      </c>
      <c r="H90" t="s">
        <v>29</v>
      </c>
      <c r="I90">
        <v>14</v>
      </c>
      <c r="J90">
        <v>113</v>
      </c>
      <c r="K90">
        <v>1582</v>
      </c>
      <c r="L90" t="str">
        <f>IF(tblVendas[[#This Row],[regiao]]="", "Não informado", tblVendas[[#This Row],[regiao]])</f>
        <v>Oeste</v>
      </c>
      <c r="M90" t="str">
        <f>IF(tblVendas[[#This Row],[categoria]]="", "Outros", tblVendas[[#This Row],[categoria]])</f>
        <v>Calçados</v>
      </c>
      <c r="N90">
        <f>IF(tblVendas[[#This Row],[valor_total]]&lt;0, MEDIAN(tblVendas[valor_total]), tblVendas[[#This Row],[valor_total]])</f>
        <v>1582</v>
      </c>
    </row>
    <row r="91" spans="1:14" x14ac:dyDescent="0.25">
      <c r="A91" s="1">
        <v>45479</v>
      </c>
      <c r="B91">
        <v>2024</v>
      </c>
      <c r="C91">
        <v>7</v>
      </c>
      <c r="D91">
        <v>3</v>
      </c>
      <c r="E91" t="s">
        <v>31</v>
      </c>
      <c r="F91" t="s">
        <v>23</v>
      </c>
      <c r="G91" t="s">
        <v>16</v>
      </c>
      <c r="H91" t="s">
        <v>21</v>
      </c>
      <c r="I91">
        <v>3</v>
      </c>
      <c r="J91">
        <v>184</v>
      </c>
      <c r="K91">
        <v>552</v>
      </c>
      <c r="L91" t="str">
        <f>IF(tblVendas[[#This Row],[regiao]]="", "Não informado", tblVendas[[#This Row],[regiao]])</f>
        <v>Centro-Oeste</v>
      </c>
      <c r="M91" t="str">
        <f>IF(tblVendas[[#This Row],[categoria]]="", "Outros", tblVendas[[#This Row],[categoria]])</f>
        <v>Acessórios</v>
      </c>
      <c r="N91">
        <f>IF(tblVendas[[#This Row],[valor_total]]&lt;0, MEDIAN(tblVendas[valor_total]), tblVendas[[#This Row],[valor_total]])</f>
        <v>552</v>
      </c>
    </row>
    <row r="92" spans="1:14" x14ac:dyDescent="0.25">
      <c r="A92" s="1">
        <v>45332</v>
      </c>
      <c r="B92">
        <v>2024</v>
      </c>
      <c r="C92">
        <v>2</v>
      </c>
      <c r="D92">
        <v>1</v>
      </c>
      <c r="E92" t="s">
        <v>11</v>
      </c>
      <c r="F92" t="s">
        <v>23</v>
      </c>
      <c r="G92" t="s">
        <v>24</v>
      </c>
      <c r="H92" t="s">
        <v>29</v>
      </c>
      <c r="I92">
        <v>5</v>
      </c>
      <c r="J92">
        <v>146</v>
      </c>
      <c r="K92">
        <v>730</v>
      </c>
      <c r="L92" t="str">
        <f>IF(tblVendas[[#This Row],[regiao]]="", "Não informado", tblVendas[[#This Row],[regiao]])</f>
        <v>Oeste</v>
      </c>
      <c r="M92" t="str">
        <f>IF(tblVendas[[#This Row],[categoria]]="", "Outros", tblVendas[[#This Row],[categoria]])</f>
        <v>Acessórios</v>
      </c>
      <c r="N92">
        <f>IF(tblVendas[[#This Row],[valor_total]]&lt;0, MEDIAN(tblVendas[valor_total]), tblVendas[[#This Row],[valor_total]])</f>
        <v>730</v>
      </c>
    </row>
    <row r="93" spans="1:14" x14ac:dyDescent="0.25">
      <c r="A93" s="1">
        <v>45448</v>
      </c>
      <c r="B93">
        <v>2024</v>
      </c>
      <c r="C93">
        <v>6</v>
      </c>
      <c r="D93">
        <v>2</v>
      </c>
      <c r="E93" t="s">
        <v>31</v>
      </c>
      <c r="F93" t="s">
        <v>19</v>
      </c>
      <c r="G93" t="s">
        <v>16</v>
      </c>
      <c r="H93" t="s">
        <v>17</v>
      </c>
      <c r="I93">
        <v>16</v>
      </c>
      <c r="J93">
        <v>31</v>
      </c>
      <c r="K93">
        <v>496</v>
      </c>
      <c r="L93" t="str">
        <f>IF(tblVendas[[#This Row],[regiao]]="", "Não informado", tblVendas[[#This Row],[regiao]])</f>
        <v>Leste</v>
      </c>
      <c r="M93" t="str">
        <f>IF(tblVendas[[#This Row],[categoria]]="", "Outros", tblVendas[[#This Row],[categoria]])</f>
        <v>Vestuário</v>
      </c>
      <c r="N93">
        <f>IF(tblVendas[[#This Row],[valor_total]]&lt;0, MEDIAN(tblVendas[valor_total]), tblVendas[[#This Row],[valor_total]])</f>
        <v>496</v>
      </c>
    </row>
    <row r="94" spans="1:14" x14ac:dyDescent="0.25">
      <c r="A94" s="1">
        <v>45306</v>
      </c>
      <c r="B94">
        <v>2024</v>
      </c>
      <c r="C94">
        <v>1</v>
      </c>
      <c r="D94">
        <v>1</v>
      </c>
      <c r="E94" t="s">
        <v>30</v>
      </c>
      <c r="F94" t="s">
        <v>12</v>
      </c>
      <c r="G94" t="s">
        <v>24</v>
      </c>
      <c r="H94" t="s">
        <v>21</v>
      </c>
      <c r="I94">
        <v>4</v>
      </c>
      <c r="J94">
        <v>122</v>
      </c>
      <c r="K94">
        <v>488</v>
      </c>
      <c r="L94" t="str">
        <f>IF(tblVendas[[#This Row],[regiao]]="", "Não informado", tblVendas[[#This Row],[regiao]])</f>
        <v>Centro-Oeste</v>
      </c>
      <c r="M94" t="str">
        <f>IF(tblVendas[[#This Row],[categoria]]="", "Outros", tblVendas[[#This Row],[categoria]])</f>
        <v>Calçados</v>
      </c>
      <c r="N94">
        <f>IF(tblVendas[[#This Row],[valor_total]]&lt;0, MEDIAN(tblVendas[valor_total]), tblVendas[[#This Row],[valor_total]])</f>
        <v>488</v>
      </c>
    </row>
    <row r="95" spans="1:14" x14ac:dyDescent="0.25">
      <c r="A95" s="1">
        <v>45592</v>
      </c>
      <c r="B95">
        <v>2024</v>
      </c>
      <c r="C95">
        <v>10</v>
      </c>
      <c r="D95">
        <v>4</v>
      </c>
      <c r="E95" t="s">
        <v>27</v>
      </c>
      <c r="F95" t="s">
        <v>19</v>
      </c>
      <c r="G95" t="s">
        <v>16</v>
      </c>
      <c r="H95" t="s">
        <v>29</v>
      </c>
      <c r="I95">
        <v>2</v>
      </c>
      <c r="J95">
        <v>195</v>
      </c>
      <c r="K95">
        <v>390</v>
      </c>
      <c r="L95" t="str">
        <f>IF(tblVendas[[#This Row],[regiao]]="", "Não informado", tblVendas[[#This Row],[regiao]])</f>
        <v>Oeste</v>
      </c>
      <c r="M95" t="str">
        <f>IF(tblVendas[[#This Row],[categoria]]="", "Outros", tblVendas[[#This Row],[categoria]])</f>
        <v>Vestuário</v>
      </c>
      <c r="N95">
        <f>IF(tblVendas[[#This Row],[valor_total]]&lt;0, MEDIAN(tblVendas[valor_total]), tblVendas[[#This Row],[valor_total]])</f>
        <v>390</v>
      </c>
    </row>
    <row r="96" spans="1:14" x14ac:dyDescent="0.25">
      <c r="A96" s="1">
        <v>45356</v>
      </c>
      <c r="B96">
        <v>2024</v>
      </c>
      <c r="C96">
        <v>3</v>
      </c>
      <c r="D96">
        <v>1</v>
      </c>
      <c r="E96" t="s">
        <v>11</v>
      </c>
      <c r="F96" t="s">
        <v>19</v>
      </c>
      <c r="G96" t="s">
        <v>16</v>
      </c>
      <c r="H96" t="s">
        <v>17</v>
      </c>
      <c r="I96">
        <v>18</v>
      </c>
      <c r="J96">
        <v>160</v>
      </c>
      <c r="K96">
        <v>2880</v>
      </c>
      <c r="L96" t="str">
        <f>IF(tblVendas[[#This Row],[regiao]]="", "Não informado", tblVendas[[#This Row],[regiao]])</f>
        <v>Leste</v>
      </c>
      <c r="M96" t="str">
        <f>IF(tblVendas[[#This Row],[categoria]]="", "Outros", tblVendas[[#This Row],[categoria]])</f>
        <v>Vestuário</v>
      </c>
      <c r="N96">
        <f>IF(tblVendas[[#This Row],[valor_total]]&lt;0, MEDIAN(tblVendas[valor_total]), tblVendas[[#This Row],[valor_total]])</f>
        <v>2880</v>
      </c>
    </row>
    <row r="97" spans="1:14" x14ac:dyDescent="0.25">
      <c r="A97" s="1">
        <v>45636</v>
      </c>
      <c r="B97">
        <v>2024</v>
      </c>
      <c r="C97">
        <v>12</v>
      </c>
      <c r="D97">
        <v>4</v>
      </c>
      <c r="E97" t="s">
        <v>15</v>
      </c>
      <c r="F97" t="s">
        <v>12</v>
      </c>
      <c r="G97" t="s">
        <v>28</v>
      </c>
      <c r="H97" t="s">
        <v>26</v>
      </c>
      <c r="I97">
        <v>19</v>
      </c>
      <c r="J97">
        <v>173</v>
      </c>
      <c r="K97">
        <v>3287</v>
      </c>
      <c r="L97" t="str">
        <f>IF(tblVendas[[#This Row],[regiao]]="", "Não informado", tblVendas[[#This Row],[regiao]])</f>
        <v>Sul</v>
      </c>
      <c r="M97" t="str">
        <f>IF(tblVendas[[#This Row],[categoria]]="", "Outros", tblVendas[[#This Row],[categoria]])</f>
        <v>Calçados</v>
      </c>
      <c r="N97">
        <f>IF(tblVendas[[#This Row],[valor_total]]&lt;0, MEDIAN(tblVendas[valor_total]), tblVendas[[#This Row],[valor_total]])</f>
        <v>3287</v>
      </c>
    </row>
    <row r="98" spans="1:14" x14ac:dyDescent="0.25">
      <c r="A98" s="1">
        <v>45618</v>
      </c>
      <c r="B98">
        <v>2024</v>
      </c>
      <c r="C98">
        <v>11</v>
      </c>
      <c r="D98">
        <v>4</v>
      </c>
      <c r="E98" t="s">
        <v>32</v>
      </c>
      <c r="F98" t="s">
        <v>12</v>
      </c>
      <c r="G98" t="s">
        <v>20</v>
      </c>
      <c r="H98" t="s">
        <v>29</v>
      </c>
      <c r="I98">
        <v>19</v>
      </c>
      <c r="J98">
        <v>123</v>
      </c>
      <c r="K98">
        <v>2337</v>
      </c>
      <c r="L98" t="str">
        <f>IF(tblVendas[[#This Row],[regiao]]="", "Não informado", tblVendas[[#This Row],[regiao]])</f>
        <v>Oeste</v>
      </c>
      <c r="M98" t="str">
        <f>IF(tblVendas[[#This Row],[categoria]]="", "Outros", tblVendas[[#This Row],[categoria]])</f>
        <v>Calçados</v>
      </c>
      <c r="N98">
        <f>IF(tblVendas[[#This Row],[valor_total]]&lt;0, MEDIAN(tblVendas[valor_total]), tblVendas[[#This Row],[valor_total]])</f>
        <v>2337</v>
      </c>
    </row>
    <row r="99" spans="1:14" x14ac:dyDescent="0.25">
      <c r="A99" s="1">
        <v>45300</v>
      </c>
      <c r="B99">
        <v>2024</v>
      </c>
      <c r="C99">
        <v>1</v>
      </c>
      <c r="D99">
        <v>1</v>
      </c>
      <c r="E99" t="s">
        <v>31</v>
      </c>
      <c r="F99" t="s">
        <v>12</v>
      </c>
      <c r="G99" t="s">
        <v>16</v>
      </c>
      <c r="H99" t="s">
        <v>26</v>
      </c>
      <c r="I99">
        <v>17</v>
      </c>
      <c r="J99">
        <v>69</v>
      </c>
      <c r="K99">
        <v>1173</v>
      </c>
      <c r="L99" t="str">
        <f>IF(tblVendas[[#This Row],[regiao]]="", "Não informado", tblVendas[[#This Row],[regiao]])</f>
        <v>Sul</v>
      </c>
      <c r="M99" t="str">
        <f>IF(tblVendas[[#This Row],[categoria]]="", "Outros", tblVendas[[#This Row],[categoria]])</f>
        <v>Calçados</v>
      </c>
      <c r="N99">
        <f>IF(tblVendas[[#This Row],[valor_total]]&lt;0, MEDIAN(tblVendas[valor_total]), tblVendas[[#This Row],[valor_total]])</f>
        <v>1173</v>
      </c>
    </row>
    <row r="100" spans="1:14" x14ac:dyDescent="0.25">
      <c r="A100" s="1">
        <v>45635</v>
      </c>
      <c r="B100">
        <v>2024</v>
      </c>
      <c r="C100">
        <v>12</v>
      </c>
      <c r="D100">
        <v>4</v>
      </c>
      <c r="E100" t="s">
        <v>31</v>
      </c>
      <c r="F100" t="s">
        <v>23</v>
      </c>
      <c r="G100" t="s">
        <v>16</v>
      </c>
      <c r="H100" t="s">
        <v>26</v>
      </c>
      <c r="I100">
        <v>14</v>
      </c>
      <c r="J100">
        <v>31</v>
      </c>
      <c r="K100">
        <v>434</v>
      </c>
      <c r="L100" t="str">
        <f>IF(tblVendas[[#This Row],[regiao]]="", "Não informado", tblVendas[[#This Row],[regiao]])</f>
        <v>Sul</v>
      </c>
      <c r="M100" t="str">
        <f>IF(tblVendas[[#This Row],[categoria]]="", "Outros", tblVendas[[#This Row],[categoria]])</f>
        <v>Acessórios</v>
      </c>
      <c r="N100">
        <f>IF(tblVendas[[#This Row],[valor_total]]&lt;0, MEDIAN(tblVendas[valor_total]), tblVendas[[#This Row],[valor_total]])</f>
        <v>434</v>
      </c>
    </row>
    <row r="101" spans="1:14" x14ac:dyDescent="0.25">
      <c r="A101" s="1">
        <v>45420</v>
      </c>
      <c r="B101">
        <v>2024</v>
      </c>
      <c r="C101">
        <v>5</v>
      </c>
      <c r="D101">
        <v>2</v>
      </c>
      <c r="E101" t="s">
        <v>18</v>
      </c>
      <c r="F101" t="s">
        <v>19</v>
      </c>
      <c r="G101" t="s">
        <v>13</v>
      </c>
      <c r="H101" t="s">
        <v>14</v>
      </c>
      <c r="I101">
        <v>19</v>
      </c>
      <c r="J101">
        <v>110</v>
      </c>
      <c r="K101">
        <v>2090</v>
      </c>
      <c r="L101" t="str">
        <f>IF(tblVendas[[#This Row],[regiao]]="", "Não informado", tblVendas[[#This Row],[regiao]])</f>
        <v>Norte</v>
      </c>
      <c r="M101" t="str">
        <f>IF(tblVendas[[#This Row],[categoria]]="", "Outros", tblVendas[[#This Row],[categoria]])</f>
        <v>Vestuário</v>
      </c>
      <c r="N101">
        <f>IF(tblVendas[[#This Row],[valor_total]]&lt;0, MEDIAN(tblVendas[valor_total]), tblVendas[[#This Row],[valor_total]])</f>
        <v>2090</v>
      </c>
    </row>
    <row r="102" spans="1:14" x14ac:dyDescent="0.25">
      <c r="A102" s="1">
        <v>45427</v>
      </c>
      <c r="B102">
        <v>2024</v>
      </c>
      <c r="C102">
        <v>5</v>
      </c>
      <c r="D102">
        <v>2</v>
      </c>
      <c r="E102" t="s">
        <v>33</v>
      </c>
      <c r="F102" t="s">
        <v>19</v>
      </c>
      <c r="G102" t="s">
        <v>20</v>
      </c>
      <c r="H102" t="s">
        <v>21</v>
      </c>
      <c r="I102">
        <v>13</v>
      </c>
      <c r="J102">
        <v>198</v>
      </c>
      <c r="K102">
        <v>2574</v>
      </c>
      <c r="L102" t="str">
        <f>IF(tblVendas[[#This Row],[regiao]]="", "Não informado", tblVendas[[#This Row],[regiao]])</f>
        <v>Centro-Oeste</v>
      </c>
      <c r="M102" t="str">
        <f>IF(tblVendas[[#This Row],[categoria]]="", "Outros", tblVendas[[#This Row],[categoria]])</f>
        <v>Vestuário</v>
      </c>
      <c r="N102">
        <f>IF(tblVendas[[#This Row],[valor_total]]&lt;0, MEDIAN(tblVendas[valor_total]), tblVendas[[#This Row],[valor_total]])</f>
        <v>2574</v>
      </c>
    </row>
    <row r="103" spans="1:14" x14ac:dyDescent="0.25">
      <c r="A103" s="1">
        <v>45354</v>
      </c>
      <c r="B103">
        <v>2024</v>
      </c>
      <c r="C103">
        <v>3</v>
      </c>
      <c r="D103">
        <v>1</v>
      </c>
      <c r="E103" t="s">
        <v>11</v>
      </c>
      <c r="F103" t="s">
        <v>23</v>
      </c>
      <c r="G103" t="s">
        <v>13</v>
      </c>
      <c r="H103" t="s">
        <v>29</v>
      </c>
      <c r="I103">
        <v>12</v>
      </c>
      <c r="J103">
        <v>41</v>
      </c>
      <c r="K103">
        <v>492</v>
      </c>
      <c r="L103" t="str">
        <f>IF(tblVendas[[#This Row],[regiao]]="", "Não informado", tblVendas[[#This Row],[regiao]])</f>
        <v>Oeste</v>
      </c>
      <c r="M103" t="str">
        <f>IF(tblVendas[[#This Row],[categoria]]="", "Outros", tblVendas[[#This Row],[categoria]])</f>
        <v>Acessórios</v>
      </c>
      <c r="N103">
        <f>IF(tblVendas[[#This Row],[valor_total]]&lt;0, MEDIAN(tblVendas[valor_total]), tblVendas[[#This Row],[valor_total]])</f>
        <v>492</v>
      </c>
    </row>
    <row r="104" spans="1:14" x14ac:dyDescent="0.25">
      <c r="A104" s="1">
        <v>45430</v>
      </c>
      <c r="B104">
        <v>2024</v>
      </c>
      <c r="C104">
        <v>5</v>
      </c>
      <c r="D104">
        <v>2</v>
      </c>
      <c r="E104" t="s">
        <v>25</v>
      </c>
      <c r="F104" t="s">
        <v>12</v>
      </c>
      <c r="G104" t="s">
        <v>20</v>
      </c>
      <c r="H104" t="s">
        <v>26</v>
      </c>
      <c r="I104">
        <v>6</v>
      </c>
      <c r="J104">
        <v>192</v>
      </c>
      <c r="K104">
        <v>1152</v>
      </c>
      <c r="L104" t="str">
        <f>IF(tblVendas[[#This Row],[regiao]]="", "Não informado", tblVendas[[#This Row],[regiao]])</f>
        <v>Sul</v>
      </c>
      <c r="M104" t="str">
        <f>IF(tblVendas[[#This Row],[categoria]]="", "Outros", tblVendas[[#This Row],[categoria]])</f>
        <v>Calçados</v>
      </c>
      <c r="N104">
        <f>IF(tblVendas[[#This Row],[valor_total]]&lt;0, MEDIAN(tblVendas[valor_total]), tblVendas[[#This Row],[valor_total]])</f>
        <v>1152</v>
      </c>
    </row>
    <row r="105" spans="1:14" x14ac:dyDescent="0.25">
      <c r="A105" s="1">
        <v>45372</v>
      </c>
      <c r="B105">
        <v>2024</v>
      </c>
      <c r="C105">
        <v>3</v>
      </c>
      <c r="D105">
        <v>1</v>
      </c>
      <c r="E105" t="s">
        <v>31</v>
      </c>
      <c r="F105" t="s">
        <v>23</v>
      </c>
      <c r="G105" t="s">
        <v>13</v>
      </c>
      <c r="H105" t="s">
        <v>14</v>
      </c>
      <c r="I105">
        <v>4</v>
      </c>
      <c r="J105">
        <v>94</v>
      </c>
      <c r="K105">
        <v>376</v>
      </c>
      <c r="L105" t="str">
        <f>IF(tblVendas[[#This Row],[regiao]]="", "Não informado", tblVendas[[#This Row],[regiao]])</f>
        <v>Norte</v>
      </c>
      <c r="M105" t="str">
        <f>IF(tblVendas[[#This Row],[categoria]]="", "Outros", tblVendas[[#This Row],[categoria]])</f>
        <v>Acessórios</v>
      </c>
      <c r="N105">
        <f>IF(tblVendas[[#This Row],[valor_total]]&lt;0, MEDIAN(tblVendas[valor_total]), tblVendas[[#This Row],[valor_total]])</f>
        <v>376</v>
      </c>
    </row>
    <row r="106" spans="1:14" x14ac:dyDescent="0.25">
      <c r="A106" s="1">
        <v>45454</v>
      </c>
      <c r="B106">
        <v>2024</v>
      </c>
      <c r="C106">
        <v>6</v>
      </c>
      <c r="D106">
        <v>2</v>
      </c>
      <c r="E106" t="s">
        <v>32</v>
      </c>
      <c r="F106" t="s">
        <v>23</v>
      </c>
      <c r="G106" t="s">
        <v>16</v>
      </c>
      <c r="H106" t="s">
        <v>17</v>
      </c>
      <c r="I106">
        <v>19</v>
      </c>
      <c r="J106">
        <v>84</v>
      </c>
      <c r="K106">
        <v>1596</v>
      </c>
      <c r="L106" t="str">
        <f>IF(tblVendas[[#This Row],[regiao]]="", "Não informado", tblVendas[[#This Row],[regiao]])</f>
        <v>Leste</v>
      </c>
      <c r="M106" t="str">
        <f>IF(tblVendas[[#This Row],[categoria]]="", "Outros", tblVendas[[#This Row],[categoria]])</f>
        <v>Acessórios</v>
      </c>
      <c r="N106">
        <f>IF(tblVendas[[#This Row],[valor_total]]&lt;0, MEDIAN(tblVendas[valor_total]), tblVendas[[#This Row],[valor_total]])</f>
        <v>1596</v>
      </c>
    </row>
    <row r="107" spans="1:14" x14ac:dyDescent="0.25">
      <c r="A107" s="1">
        <v>45580</v>
      </c>
      <c r="B107">
        <v>2024</v>
      </c>
      <c r="C107">
        <v>10</v>
      </c>
      <c r="D107">
        <v>4</v>
      </c>
      <c r="E107" t="s">
        <v>15</v>
      </c>
      <c r="F107" t="s">
        <v>23</v>
      </c>
      <c r="G107" t="s">
        <v>16</v>
      </c>
      <c r="H107" t="s">
        <v>29</v>
      </c>
      <c r="I107">
        <v>16</v>
      </c>
      <c r="J107">
        <v>74</v>
      </c>
      <c r="K107">
        <v>1184</v>
      </c>
      <c r="L107" t="str">
        <f>IF(tblVendas[[#This Row],[regiao]]="", "Não informado", tblVendas[[#This Row],[regiao]])</f>
        <v>Oeste</v>
      </c>
      <c r="M107" t="str">
        <f>IF(tblVendas[[#This Row],[categoria]]="", "Outros", tblVendas[[#This Row],[categoria]])</f>
        <v>Acessórios</v>
      </c>
      <c r="N107">
        <f>IF(tblVendas[[#This Row],[valor_total]]&lt;0, MEDIAN(tblVendas[valor_total]), tblVendas[[#This Row],[valor_total]])</f>
        <v>1184</v>
      </c>
    </row>
    <row r="108" spans="1:14" x14ac:dyDescent="0.25">
      <c r="A108" s="1">
        <v>45552</v>
      </c>
      <c r="B108">
        <v>2024</v>
      </c>
      <c r="C108">
        <v>9</v>
      </c>
      <c r="D108">
        <v>3</v>
      </c>
      <c r="E108" t="s">
        <v>31</v>
      </c>
      <c r="F108" t="s">
        <v>19</v>
      </c>
      <c r="G108" t="s">
        <v>28</v>
      </c>
      <c r="H108" t="s">
        <v>26</v>
      </c>
      <c r="I108">
        <v>13</v>
      </c>
      <c r="J108">
        <v>130</v>
      </c>
      <c r="K108">
        <v>1690</v>
      </c>
      <c r="L108" t="str">
        <f>IF(tblVendas[[#This Row],[regiao]]="", "Não informado", tblVendas[[#This Row],[regiao]])</f>
        <v>Sul</v>
      </c>
      <c r="M108" t="str">
        <f>IF(tblVendas[[#This Row],[categoria]]="", "Outros", tblVendas[[#This Row],[categoria]])</f>
        <v>Vestuário</v>
      </c>
      <c r="N108">
        <f>IF(tblVendas[[#This Row],[valor_total]]&lt;0, MEDIAN(tblVendas[valor_total]), tblVendas[[#This Row],[valor_total]])</f>
        <v>1690</v>
      </c>
    </row>
    <row r="109" spans="1:14" x14ac:dyDescent="0.25">
      <c r="A109" s="1">
        <v>45522</v>
      </c>
      <c r="B109">
        <v>2024</v>
      </c>
      <c r="C109">
        <v>8</v>
      </c>
      <c r="D109">
        <v>3</v>
      </c>
      <c r="E109" t="s">
        <v>15</v>
      </c>
      <c r="F109" t="s">
        <v>23</v>
      </c>
      <c r="G109" t="s">
        <v>13</v>
      </c>
      <c r="H109" t="s">
        <v>21</v>
      </c>
      <c r="I109">
        <v>4</v>
      </c>
      <c r="J109">
        <v>91</v>
      </c>
      <c r="K109">
        <v>364</v>
      </c>
      <c r="L109" t="str">
        <f>IF(tblVendas[[#This Row],[regiao]]="", "Não informado", tblVendas[[#This Row],[regiao]])</f>
        <v>Centro-Oeste</v>
      </c>
      <c r="M109" t="str">
        <f>IF(tblVendas[[#This Row],[categoria]]="", "Outros", tblVendas[[#This Row],[categoria]])</f>
        <v>Acessórios</v>
      </c>
      <c r="N109">
        <f>IF(tblVendas[[#This Row],[valor_total]]&lt;0, MEDIAN(tblVendas[valor_total]), tblVendas[[#This Row],[valor_total]])</f>
        <v>364</v>
      </c>
    </row>
    <row r="110" spans="1:14" x14ac:dyDescent="0.25">
      <c r="A110" s="1">
        <v>45332</v>
      </c>
      <c r="B110">
        <v>2024</v>
      </c>
      <c r="C110">
        <v>2</v>
      </c>
      <c r="D110">
        <v>1</v>
      </c>
      <c r="E110" t="s">
        <v>30</v>
      </c>
      <c r="F110" t="s">
        <v>19</v>
      </c>
      <c r="G110" t="s">
        <v>24</v>
      </c>
      <c r="H110" t="s">
        <v>14</v>
      </c>
      <c r="I110">
        <v>17</v>
      </c>
      <c r="J110">
        <v>78</v>
      </c>
      <c r="K110">
        <v>1326</v>
      </c>
      <c r="L110" t="str">
        <f>IF(tblVendas[[#This Row],[regiao]]="", "Não informado", tblVendas[[#This Row],[regiao]])</f>
        <v>Norte</v>
      </c>
      <c r="M110" t="str">
        <f>IF(tblVendas[[#This Row],[categoria]]="", "Outros", tblVendas[[#This Row],[categoria]])</f>
        <v>Vestuário</v>
      </c>
      <c r="N110">
        <f>IF(tblVendas[[#This Row],[valor_total]]&lt;0, MEDIAN(tblVendas[valor_total]), tblVendas[[#This Row],[valor_total]])</f>
        <v>1326</v>
      </c>
    </row>
    <row r="111" spans="1:14" x14ac:dyDescent="0.25">
      <c r="A111" s="1">
        <v>45319</v>
      </c>
      <c r="B111">
        <v>2024</v>
      </c>
      <c r="C111">
        <v>1</v>
      </c>
      <c r="D111">
        <v>1</v>
      </c>
      <c r="E111" t="s">
        <v>30</v>
      </c>
      <c r="F111" t="s">
        <v>19</v>
      </c>
      <c r="G111" t="s">
        <v>28</v>
      </c>
      <c r="H111" t="s">
        <v>26</v>
      </c>
      <c r="I111">
        <v>1</v>
      </c>
      <c r="J111">
        <v>156</v>
      </c>
      <c r="K111">
        <v>156</v>
      </c>
      <c r="L111" t="str">
        <f>IF(tblVendas[[#This Row],[regiao]]="", "Não informado", tblVendas[[#This Row],[regiao]])</f>
        <v>Sul</v>
      </c>
      <c r="M111" t="str">
        <f>IF(tblVendas[[#This Row],[categoria]]="", "Outros", tblVendas[[#This Row],[categoria]])</f>
        <v>Vestuário</v>
      </c>
      <c r="N111">
        <f>IF(tblVendas[[#This Row],[valor_total]]&lt;0, MEDIAN(tblVendas[valor_total]), tblVendas[[#This Row],[valor_total]])</f>
        <v>156</v>
      </c>
    </row>
    <row r="112" spans="1:14" x14ac:dyDescent="0.25">
      <c r="A112" s="1">
        <v>45426</v>
      </c>
      <c r="B112">
        <v>2024</v>
      </c>
      <c r="C112">
        <v>5</v>
      </c>
      <c r="D112">
        <v>2</v>
      </c>
      <c r="E112" t="s">
        <v>33</v>
      </c>
      <c r="F112" t="s">
        <v>19</v>
      </c>
      <c r="G112" t="s">
        <v>13</v>
      </c>
      <c r="H112" t="s">
        <v>21</v>
      </c>
      <c r="I112">
        <v>18</v>
      </c>
      <c r="J112">
        <v>182</v>
      </c>
      <c r="K112">
        <v>3276</v>
      </c>
      <c r="L112" t="str">
        <f>IF(tblVendas[[#This Row],[regiao]]="", "Não informado", tblVendas[[#This Row],[regiao]])</f>
        <v>Centro-Oeste</v>
      </c>
      <c r="M112" t="str">
        <f>IF(tblVendas[[#This Row],[categoria]]="", "Outros", tblVendas[[#This Row],[categoria]])</f>
        <v>Vestuário</v>
      </c>
      <c r="N112">
        <f>IF(tblVendas[[#This Row],[valor_total]]&lt;0, MEDIAN(tblVendas[valor_total]), tblVendas[[#This Row],[valor_total]])</f>
        <v>3276</v>
      </c>
    </row>
    <row r="113" spans="1:14" x14ac:dyDescent="0.25">
      <c r="A113" s="1">
        <v>45492</v>
      </c>
      <c r="B113">
        <v>2024</v>
      </c>
      <c r="C113">
        <v>7</v>
      </c>
      <c r="D113">
        <v>3</v>
      </c>
      <c r="E113" t="s">
        <v>27</v>
      </c>
      <c r="F113" t="s">
        <v>12</v>
      </c>
      <c r="G113" t="s">
        <v>13</v>
      </c>
      <c r="H113" t="s">
        <v>26</v>
      </c>
      <c r="I113">
        <v>17</v>
      </c>
      <c r="J113">
        <v>52</v>
      </c>
      <c r="K113">
        <v>884</v>
      </c>
      <c r="L113" t="str">
        <f>IF(tblVendas[[#This Row],[regiao]]="", "Não informado", tblVendas[[#This Row],[regiao]])</f>
        <v>Sul</v>
      </c>
      <c r="M113" t="str">
        <f>IF(tblVendas[[#This Row],[categoria]]="", "Outros", tblVendas[[#This Row],[categoria]])</f>
        <v>Calçados</v>
      </c>
      <c r="N113">
        <f>IF(tblVendas[[#This Row],[valor_total]]&lt;0, MEDIAN(tblVendas[valor_total]), tblVendas[[#This Row],[valor_total]])</f>
        <v>884</v>
      </c>
    </row>
    <row r="114" spans="1:14" x14ac:dyDescent="0.25">
      <c r="A114" s="1">
        <v>45619</v>
      </c>
      <c r="B114">
        <v>2024</v>
      </c>
      <c r="C114">
        <v>11</v>
      </c>
      <c r="D114">
        <v>4</v>
      </c>
      <c r="E114" t="s">
        <v>25</v>
      </c>
      <c r="F114" t="s">
        <v>19</v>
      </c>
      <c r="G114" t="s">
        <v>28</v>
      </c>
      <c r="H114" t="s">
        <v>29</v>
      </c>
      <c r="I114">
        <v>15</v>
      </c>
      <c r="J114">
        <v>181</v>
      </c>
      <c r="K114">
        <v>2715</v>
      </c>
      <c r="L114" t="str">
        <f>IF(tblVendas[[#This Row],[regiao]]="", "Não informado", tblVendas[[#This Row],[regiao]])</f>
        <v>Oeste</v>
      </c>
      <c r="M114" t="str">
        <f>IF(tblVendas[[#This Row],[categoria]]="", "Outros", tblVendas[[#This Row],[categoria]])</f>
        <v>Vestuário</v>
      </c>
      <c r="N114">
        <f>IF(tblVendas[[#This Row],[valor_total]]&lt;0, MEDIAN(tblVendas[valor_total]), tblVendas[[#This Row],[valor_total]])</f>
        <v>2715</v>
      </c>
    </row>
    <row r="115" spans="1:14" x14ac:dyDescent="0.25">
      <c r="A115" s="1">
        <v>45559</v>
      </c>
      <c r="B115">
        <v>2024</v>
      </c>
      <c r="C115">
        <v>9</v>
      </c>
      <c r="D115">
        <v>3</v>
      </c>
      <c r="E115" t="s">
        <v>18</v>
      </c>
      <c r="F115" t="s">
        <v>19</v>
      </c>
      <c r="G115" t="s">
        <v>16</v>
      </c>
      <c r="H115" t="s">
        <v>29</v>
      </c>
      <c r="I115">
        <v>11</v>
      </c>
      <c r="J115">
        <v>67</v>
      </c>
      <c r="K115">
        <v>737</v>
      </c>
      <c r="L115" t="str">
        <f>IF(tblVendas[[#This Row],[regiao]]="", "Não informado", tblVendas[[#This Row],[regiao]])</f>
        <v>Oeste</v>
      </c>
      <c r="M115" t="str">
        <f>IF(tblVendas[[#This Row],[categoria]]="", "Outros", tblVendas[[#This Row],[categoria]])</f>
        <v>Vestuário</v>
      </c>
      <c r="N115">
        <f>IF(tblVendas[[#This Row],[valor_total]]&lt;0, MEDIAN(tblVendas[valor_total]), tblVendas[[#This Row],[valor_total]])</f>
        <v>737</v>
      </c>
    </row>
    <row r="116" spans="1:14" x14ac:dyDescent="0.25">
      <c r="A116" s="1">
        <v>45324</v>
      </c>
      <c r="B116">
        <v>2024</v>
      </c>
      <c r="C116">
        <v>2</v>
      </c>
      <c r="D116">
        <v>1</v>
      </c>
      <c r="E116" t="s">
        <v>33</v>
      </c>
      <c r="F116" t="s">
        <v>12</v>
      </c>
      <c r="G116" t="s">
        <v>13</v>
      </c>
      <c r="H116" t="s">
        <v>29</v>
      </c>
      <c r="I116">
        <v>13</v>
      </c>
      <c r="J116">
        <v>57</v>
      </c>
      <c r="K116">
        <v>741</v>
      </c>
      <c r="L116" t="str">
        <f>IF(tblVendas[[#This Row],[regiao]]="", "Não informado", tblVendas[[#This Row],[regiao]])</f>
        <v>Oeste</v>
      </c>
      <c r="M116" t="str">
        <f>IF(tblVendas[[#This Row],[categoria]]="", "Outros", tblVendas[[#This Row],[categoria]])</f>
        <v>Calçados</v>
      </c>
      <c r="N116">
        <f>IF(tblVendas[[#This Row],[valor_total]]&lt;0, MEDIAN(tblVendas[valor_total]), tblVendas[[#This Row],[valor_total]])</f>
        <v>741</v>
      </c>
    </row>
    <row r="117" spans="1:14" x14ac:dyDescent="0.25">
      <c r="A117" s="1">
        <v>45339</v>
      </c>
      <c r="B117">
        <v>2024</v>
      </c>
      <c r="C117">
        <v>2</v>
      </c>
      <c r="D117">
        <v>1</v>
      </c>
      <c r="E117" t="s">
        <v>22</v>
      </c>
      <c r="F117" t="s">
        <v>19</v>
      </c>
      <c r="G117" t="s">
        <v>16</v>
      </c>
      <c r="H117" t="s">
        <v>14</v>
      </c>
      <c r="I117">
        <v>1</v>
      </c>
      <c r="J117">
        <v>50</v>
      </c>
      <c r="K117">
        <v>50</v>
      </c>
      <c r="L117" t="str">
        <f>IF(tblVendas[[#This Row],[regiao]]="", "Não informado", tblVendas[[#This Row],[regiao]])</f>
        <v>Norte</v>
      </c>
      <c r="M117" t="str">
        <f>IF(tblVendas[[#This Row],[categoria]]="", "Outros", tblVendas[[#This Row],[categoria]])</f>
        <v>Vestuário</v>
      </c>
      <c r="N117">
        <f>IF(tblVendas[[#This Row],[valor_total]]&lt;0, MEDIAN(tblVendas[valor_total]), tblVendas[[#This Row],[valor_total]])</f>
        <v>50</v>
      </c>
    </row>
    <row r="118" spans="1:14" x14ac:dyDescent="0.25">
      <c r="A118" s="1">
        <v>45353</v>
      </c>
      <c r="B118">
        <v>2024</v>
      </c>
      <c r="C118">
        <v>3</v>
      </c>
      <c r="D118">
        <v>1</v>
      </c>
      <c r="E118" t="s">
        <v>18</v>
      </c>
      <c r="F118" t="s">
        <v>23</v>
      </c>
      <c r="G118" t="s">
        <v>28</v>
      </c>
      <c r="H118" t="s">
        <v>29</v>
      </c>
      <c r="I118">
        <v>17</v>
      </c>
      <c r="J118">
        <v>136</v>
      </c>
      <c r="K118">
        <v>2312</v>
      </c>
      <c r="L118" t="str">
        <f>IF(tblVendas[[#This Row],[regiao]]="", "Não informado", tblVendas[[#This Row],[regiao]])</f>
        <v>Oeste</v>
      </c>
      <c r="M118" t="str">
        <f>IF(tblVendas[[#This Row],[categoria]]="", "Outros", tblVendas[[#This Row],[categoria]])</f>
        <v>Acessórios</v>
      </c>
      <c r="N118">
        <f>IF(tblVendas[[#This Row],[valor_total]]&lt;0, MEDIAN(tblVendas[valor_total]), tblVendas[[#This Row],[valor_total]])</f>
        <v>2312</v>
      </c>
    </row>
    <row r="119" spans="1:14" x14ac:dyDescent="0.25">
      <c r="A119" s="1">
        <v>45507</v>
      </c>
      <c r="B119">
        <v>2024</v>
      </c>
      <c r="C119">
        <v>8</v>
      </c>
      <c r="D119">
        <v>3</v>
      </c>
      <c r="E119" t="s">
        <v>11</v>
      </c>
      <c r="F119" t="s">
        <v>23</v>
      </c>
      <c r="G119" t="s">
        <v>16</v>
      </c>
      <c r="H119" t="s">
        <v>21</v>
      </c>
      <c r="I119">
        <v>6</v>
      </c>
      <c r="J119">
        <v>175</v>
      </c>
      <c r="K119">
        <v>1050</v>
      </c>
      <c r="L119" t="str">
        <f>IF(tblVendas[[#This Row],[regiao]]="", "Não informado", tblVendas[[#This Row],[regiao]])</f>
        <v>Centro-Oeste</v>
      </c>
      <c r="M119" t="str">
        <f>IF(tblVendas[[#This Row],[categoria]]="", "Outros", tblVendas[[#This Row],[categoria]])</f>
        <v>Acessórios</v>
      </c>
      <c r="N119">
        <f>IF(tblVendas[[#This Row],[valor_total]]&lt;0, MEDIAN(tblVendas[valor_total]), tblVendas[[#This Row],[valor_total]])</f>
        <v>1050</v>
      </c>
    </row>
    <row r="120" spans="1:14" x14ac:dyDescent="0.25">
      <c r="A120" s="1">
        <v>45584</v>
      </c>
      <c r="B120">
        <v>2024</v>
      </c>
      <c r="C120">
        <v>10</v>
      </c>
      <c r="D120">
        <v>4</v>
      </c>
      <c r="E120" t="s">
        <v>32</v>
      </c>
      <c r="F120" t="s">
        <v>19</v>
      </c>
      <c r="G120" t="s">
        <v>20</v>
      </c>
      <c r="H120" t="s">
        <v>26</v>
      </c>
      <c r="I120">
        <v>4</v>
      </c>
      <c r="J120">
        <v>193</v>
      </c>
      <c r="K120">
        <v>772</v>
      </c>
      <c r="L120" t="str">
        <f>IF(tblVendas[[#This Row],[regiao]]="", "Não informado", tblVendas[[#This Row],[regiao]])</f>
        <v>Sul</v>
      </c>
      <c r="M120" t="str">
        <f>IF(tblVendas[[#This Row],[categoria]]="", "Outros", tblVendas[[#This Row],[categoria]])</f>
        <v>Vestuário</v>
      </c>
      <c r="N120">
        <f>IF(tblVendas[[#This Row],[valor_total]]&lt;0, MEDIAN(tblVendas[valor_total]), tblVendas[[#This Row],[valor_total]])</f>
        <v>772</v>
      </c>
    </row>
    <row r="121" spans="1:14" x14ac:dyDescent="0.25">
      <c r="A121" s="1">
        <v>45390</v>
      </c>
      <c r="B121">
        <v>2024</v>
      </c>
      <c r="C121">
        <v>4</v>
      </c>
      <c r="D121">
        <v>2</v>
      </c>
      <c r="E121" t="s">
        <v>22</v>
      </c>
      <c r="F121" t="s">
        <v>12</v>
      </c>
      <c r="G121" t="s">
        <v>24</v>
      </c>
      <c r="H121" t="s">
        <v>17</v>
      </c>
      <c r="I121">
        <v>16</v>
      </c>
      <c r="J121">
        <v>128</v>
      </c>
      <c r="K121">
        <v>2048</v>
      </c>
      <c r="L121" t="str">
        <f>IF(tblVendas[[#This Row],[regiao]]="", "Não informado", tblVendas[[#This Row],[regiao]])</f>
        <v>Leste</v>
      </c>
      <c r="M121" t="str">
        <f>IF(tblVendas[[#This Row],[categoria]]="", "Outros", tblVendas[[#This Row],[categoria]])</f>
        <v>Calçados</v>
      </c>
      <c r="N121">
        <f>IF(tblVendas[[#This Row],[valor_total]]&lt;0, MEDIAN(tblVendas[valor_total]), tblVendas[[#This Row],[valor_total]])</f>
        <v>2048</v>
      </c>
    </row>
    <row r="122" spans="1:14" x14ac:dyDescent="0.25">
      <c r="A122" s="1">
        <v>45463</v>
      </c>
      <c r="B122">
        <v>2024</v>
      </c>
      <c r="C122">
        <v>6</v>
      </c>
      <c r="D122">
        <v>2</v>
      </c>
      <c r="E122" t="s">
        <v>22</v>
      </c>
      <c r="F122" t="s">
        <v>23</v>
      </c>
      <c r="G122" t="s">
        <v>13</v>
      </c>
      <c r="H122" t="s">
        <v>21</v>
      </c>
      <c r="I122">
        <v>15</v>
      </c>
      <c r="J122">
        <v>148</v>
      </c>
      <c r="K122">
        <v>2220</v>
      </c>
      <c r="L122" t="str">
        <f>IF(tblVendas[[#This Row],[regiao]]="", "Não informado", tblVendas[[#This Row],[regiao]])</f>
        <v>Centro-Oeste</v>
      </c>
      <c r="M122" t="str">
        <f>IF(tblVendas[[#This Row],[categoria]]="", "Outros", tblVendas[[#This Row],[categoria]])</f>
        <v>Acessórios</v>
      </c>
      <c r="N122">
        <f>IF(tblVendas[[#This Row],[valor_total]]&lt;0, MEDIAN(tblVendas[valor_total]), tblVendas[[#This Row],[valor_total]])</f>
        <v>2220</v>
      </c>
    </row>
    <row r="123" spans="1:14" x14ac:dyDescent="0.25">
      <c r="A123" s="1">
        <v>45651</v>
      </c>
      <c r="B123">
        <v>2024</v>
      </c>
      <c r="C123">
        <v>12</v>
      </c>
      <c r="D123">
        <v>4</v>
      </c>
      <c r="E123" t="s">
        <v>33</v>
      </c>
      <c r="F123" t="s">
        <v>12</v>
      </c>
      <c r="G123" t="s">
        <v>24</v>
      </c>
      <c r="H123" t="s">
        <v>21</v>
      </c>
      <c r="I123">
        <v>15</v>
      </c>
      <c r="J123">
        <v>102</v>
      </c>
      <c r="K123">
        <v>1530</v>
      </c>
      <c r="L123" t="str">
        <f>IF(tblVendas[[#This Row],[regiao]]="", "Não informado", tblVendas[[#This Row],[regiao]])</f>
        <v>Centro-Oeste</v>
      </c>
      <c r="M123" t="str">
        <f>IF(tblVendas[[#This Row],[categoria]]="", "Outros", tblVendas[[#This Row],[categoria]])</f>
        <v>Calçados</v>
      </c>
      <c r="N123">
        <f>IF(tblVendas[[#This Row],[valor_total]]&lt;0, MEDIAN(tblVendas[valor_total]), tblVendas[[#This Row],[valor_total]])</f>
        <v>1530</v>
      </c>
    </row>
    <row r="124" spans="1:14" x14ac:dyDescent="0.25">
      <c r="A124" s="1">
        <v>45505</v>
      </c>
      <c r="B124">
        <v>2024</v>
      </c>
      <c r="C124">
        <v>8</v>
      </c>
      <c r="D124">
        <v>3</v>
      </c>
      <c r="E124" t="s">
        <v>27</v>
      </c>
      <c r="F124" t="s">
        <v>12</v>
      </c>
      <c r="G124" t="s">
        <v>16</v>
      </c>
      <c r="H124" t="s">
        <v>29</v>
      </c>
      <c r="I124">
        <v>6</v>
      </c>
      <c r="J124">
        <v>151</v>
      </c>
      <c r="K124">
        <v>906</v>
      </c>
      <c r="L124" t="str">
        <f>IF(tblVendas[[#This Row],[regiao]]="", "Não informado", tblVendas[[#This Row],[regiao]])</f>
        <v>Oeste</v>
      </c>
      <c r="M124" t="str">
        <f>IF(tblVendas[[#This Row],[categoria]]="", "Outros", tblVendas[[#This Row],[categoria]])</f>
        <v>Calçados</v>
      </c>
      <c r="N124">
        <f>IF(tblVendas[[#This Row],[valor_total]]&lt;0, MEDIAN(tblVendas[valor_total]), tblVendas[[#This Row],[valor_total]])</f>
        <v>906</v>
      </c>
    </row>
    <row r="125" spans="1:14" x14ac:dyDescent="0.25">
      <c r="A125" s="1">
        <v>45326</v>
      </c>
      <c r="B125">
        <v>2024</v>
      </c>
      <c r="C125">
        <v>2</v>
      </c>
      <c r="D125">
        <v>1</v>
      </c>
      <c r="E125" t="s">
        <v>33</v>
      </c>
      <c r="F125" t="s">
        <v>23</v>
      </c>
      <c r="G125" t="s">
        <v>13</v>
      </c>
      <c r="H125" t="s">
        <v>14</v>
      </c>
      <c r="I125">
        <v>15</v>
      </c>
      <c r="J125">
        <v>59</v>
      </c>
      <c r="K125">
        <v>885</v>
      </c>
      <c r="L125" t="str">
        <f>IF(tblVendas[[#This Row],[regiao]]="", "Não informado", tblVendas[[#This Row],[regiao]])</f>
        <v>Norte</v>
      </c>
      <c r="M125" t="str">
        <f>IF(tblVendas[[#This Row],[categoria]]="", "Outros", tblVendas[[#This Row],[categoria]])</f>
        <v>Acessórios</v>
      </c>
      <c r="N125">
        <f>IF(tblVendas[[#This Row],[valor_total]]&lt;0, MEDIAN(tblVendas[valor_total]), tblVendas[[#This Row],[valor_total]])</f>
        <v>885</v>
      </c>
    </row>
    <row r="126" spans="1:14" x14ac:dyDescent="0.25">
      <c r="A126" s="1">
        <v>45518</v>
      </c>
      <c r="B126">
        <v>2024</v>
      </c>
      <c r="C126">
        <v>8</v>
      </c>
      <c r="D126">
        <v>3</v>
      </c>
      <c r="E126" t="s">
        <v>11</v>
      </c>
      <c r="F126" t="s">
        <v>12</v>
      </c>
      <c r="G126" t="s">
        <v>16</v>
      </c>
      <c r="H126" t="s">
        <v>26</v>
      </c>
      <c r="I126">
        <v>14</v>
      </c>
      <c r="J126">
        <v>137</v>
      </c>
      <c r="K126">
        <v>1918</v>
      </c>
      <c r="L126" t="str">
        <f>IF(tblVendas[[#This Row],[regiao]]="", "Não informado", tblVendas[[#This Row],[regiao]])</f>
        <v>Sul</v>
      </c>
      <c r="M126" t="str">
        <f>IF(tblVendas[[#This Row],[categoria]]="", "Outros", tblVendas[[#This Row],[categoria]])</f>
        <v>Calçados</v>
      </c>
      <c r="N126">
        <f>IF(tblVendas[[#This Row],[valor_total]]&lt;0, MEDIAN(tblVendas[valor_total]), tblVendas[[#This Row],[valor_total]])</f>
        <v>1918</v>
      </c>
    </row>
    <row r="127" spans="1:14" x14ac:dyDescent="0.25">
      <c r="A127" s="1">
        <v>45392</v>
      </c>
      <c r="B127">
        <v>2024</v>
      </c>
      <c r="C127">
        <v>4</v>
      </c>
      <c r="D127">
        <v>2</v>
      </c>
      <c r="E127" t="s">
        <v>31</v>
      </c>
      <c r="F127" t="s">
        <v>23</v>
      </c>
      <c r="G127" t="s">
        <v>20</v>
      </c>
      <c r="H127" t="s">
        <v>14</v>
      </c>
      <c r="I127">
        <v>11</v>
      </c>
      <c r="J127">
        <v>127</v>
      </c>
      <c r="K127">
        <v>1397</v>
      </c>
      <c r="L127" t="str">
        <f>IF(tblVendas[[#This Row],[regiao]]="", "Não informado", tblVendas[[#This Row],[regiao]])</f>
        <v>Norte</v>
      </c>
      <c r="M127" t="str">
        <f>IF(tblVendas[[#This Row],[categoria]]="", "Outros", tblVendas[[#This Row],[categoria]])</f>
        <v>Acessórios</v>
      </c>
      <c r="N127">
        <f>IF(tblVendas[[#This Row],[valor_total]]&lt;0, MEDIAN(tblVendas[valor_total]), tblVendas[[#This Row],[valor_total]])</f>
        <v>1397</v>
      </c>
    </row>
    <row r="128" spans="1:14" x14ac:dyDescent="0.25">
      <c r="A128" s="1">
        <v>45422</v>
      </c>
      <c r="B128">
        <v>2024</v>
      </c>
      <c r="C128">
        <v>5</v>
      </c>
      <c r="D128">
        <v>2</v>
      </c>
      <c r="E128" t="s">
        <v>31</v>
      </c>
      <c r="F128" t="s">
        <v>12</v>
      </c>
      <c r="G128" t="s">
        <v>28</v>
      </c>
      <c r="H128" t="s">
        <v>26</v>
      </c>
      <c r="I128">
        <v>7</v>
      </c>
      <c r="J128">
        <v>61</v>
      </c>
      <c r="K128">
        <v>427</v>
      </c>
      <c r="L128" t="str">
        <f>IF(tblVendas[[#This Row],[regiao]]="", "Não informado", tblVendas[[#This Row],[regiao]])</f>
        <v>Sul</v>
      </c>
      <c r="M128" t="str">
        <f>IF(tblVendas[[#This Row],[categoria]]="", "Outros", tblVendas[[#This Row],[categoria]])</f>
        <v>Calçados</v>
      </c>
      <c r="N128">
        <f>IF(tblVendas[[#This Row],[valor_total]]&lt;0, MEDIAN(tblVendas[valor_total]), tblVendas[[#This Row],[valor_total]])</f>
        <v>427</v>
      </c>
    </row>
    <row r="129" spans="1:14" x14ac:dyDescent="0.25">
      <c r="A129" s="1">
        <v>45548</v>
      </c>
      <c r="B129">
        <v>2024</v>
      </c>
      <c r="C129">
        <v>9</v>
      </c>
      <c r="D129">
        <v>3</v>
      </c>
      <c r="E129" t="s">
        <v>27</v>
      </c>
      <c r="F129" t="s">
        <v>23</v>
      </c>
      <c r="G129" t="s">
        <v>13</v>
      </c>
      <c r="H129" t="s">
        <v>26</v>
      </c>
      <c r="I129">
        <v>9</v>
      </c>
      <c r="J129">
        <v>185</v>
      </c>
      <c r="K129">
        <v>1665</v>
      </c>
      <c r="L129" t="str">
        <f>IF(tblVendas[[#This Row],[regiao]]="", "Não informado", tblVendas[[#This Row],[regiao]])</f>
        <v>Sul</v>
      </c>
      <c r="M129" t="str">
        <f>IF(tblVendas[[#This Row],[categoria]]="", "Outros", tblVendas[[#This Row],[categoria]])</f>
        <v>Acessórios</v>
      </c>
      <c r="N129">
        <f>IF(tblVendas[[#This Row],[valor_total]]&lt;0, MEDIAN(tblVendas[valor_total]), tblVendas[[#This Row],[valor_total]])</f>
        <v>1665</v>
      </c>
    </row>
    <row r="130" spans="1:14" x14ac:dyDescent="0.25">
      <c r="A130" s="1">
        <v>45296</v>
      </c>
      <c r="B130">
        <v>2024</v>
      </c>
      <c r="C130">
        <v>1</v>
      </c>
      <c r="D130">
        <v>1</v>
      </c>
      <c r="E130" t="s">
        <v>11</v>
      </c>
      <c r="F130" t="s">
        <v>19</v>
      </c>
      <c r="G130" t="s">
        <v>20</v>
      </c>
      <c r="H130" t="s">
        <v>14</v>
      </c>
      <c r="I130">
        <v>16</v>
      </c>
      <c r="J130">
        <v>108</v>
      </c>
      <c r="K130">
        <v>1728</v>
      </c>
      <c r="L130" t="str">
        <f>IF(tblVendas[[#This Row],[regiao]]="", "Não informado", tblVendas[[#This Row],[regiao]])</f>
        <v>Norte</v>
      </c>
      <c r="M130" t="str">
        <f>IF(tblVendas[[#This Row],[categoria]]="", "Outros", tblVendas[[#This Row],[categoria]])</f>
        <v>Vestuário</v>
      </c>
      <c r="N130">
        <f>IF(tblVendas[[#This Row],[valor_total]]&lt;0, MEDIAN(tblVendas[valor_total]), tblVendas[[#This Row],[valor_total]])</f>
        <v>1728</v>
      </c>
    </row>
    <row r="131" spans="1:14" x14ac:dyDescent="0.25">
      <c r="A131" s="1">
        <v>45509</v>
      </c>
      <c r="B131">
        <v>2024</v>
      </c>
      <c r="C131">
        <v>8</v>
      </c>
      <c r="D131">
        <v>3</v>
      </c>
      <c r="E131" t="s">
        <v>27</v>
      </c>
      <c r="F131" t="s">
        <v>23</v>
      </c>
      <c r="G131" t="s">
        <v>20</v>
      </c>
      <c r="H131" t="s">
        <v>21</v>
      </c>
      <c r="I131">
        <v>5</v>
      </c>
      <c r="J131">
        <v>70</v>
      </c>
      <c r="K131">
        <v>350</v>
      </c>
      <c r="L131" t="str">
        <f>IF(tblVendas[[#This Row],[regiao]]="", "Não informado", tblVendas[[#This Row],[regiao]])</f>
        <v>Centro-Oeste</v>
      </c>
      <c r="M131" t="str">
        <f>IF(tblVendas[[#This Row],[categoria]]="", "Outros", tblVendas[[#This Row],[categoria]])</f>
        <v>Acessórios</v>
      </c>
      <c r="N131">
        <f>IF(tblVendas[[#This Row],[valor_total]]&lt;0, MEDIAN(tblVendas[valor_total]), tblVendas[[#This Row],[valor_total]])</f>
        <v>350</v>
      </c>
    </row>
    <row r="132" spans="1:14" x14ac:dyDescent="0.25">
      <c r="A132" s="1">
        <v>45546</v>
      </c>
      <c r="B132">
        <v>2024</v>
      </c>
      <c r="C132">
        <v>9</v>
      </c>
      <c r="D132">
        <v>3</v>
      </c>
      <c r="E132" t="s">
        <v>15</v>
      </c>
      <c r="F132" t="s">
        <v>23</v>
      </c>
      <c r="G132" t="s">
        <v>13</v>
      </c>
      <c r="H132" t="s">
        <v>26</v>
      </c>
      <c r="I132">
        <v>10</v>
      </c>
      <c r="J132">
        <v>92</v>
      </c>
      <c r="K132">
        <v>920</v>
      </c>
      <c r="L132" t="str">
        <f>IF(tblVendas[[#This Row],[regiao]]="", "Não informado", tblVendas[[#This Row],[regiao]])</f>
        <v>Sul</v>
      </c>
      <c r="M132" t="str">
        <f>IF(tblVendas[[#This Row],[categoria]]="", "Outros", tblVendas[[#This Row],[categoria]])</f>
        <v>Acessórios</v>
      </c>
      <c r="N132">
        <f>IF(tblVendas[[#This Row],[valor_total]]&lt;0, MEDIAN(tblVendas[valor_total]), tblVendas[[#This Row],[valor_total]])</f>
        <v>920</v>
      </c>
    </row>
    <row r="133" spans="1:14" x14ac:dyDescent="0.25">
      <c r="A133" s="1">
        <v>45650</v>
      </c>
      <c r="B133">
        <v>2024</v>
      </c>
      <c r="C133">
        <v>12</v>
      </c>
      <c r="D133">
        <v>4</v>
      </c>
      <c r="E133" t="s">
        <v>31</v>
      </c>
      <c r="F133" t="s">
        <v>23</v>
      </c>
      <c r="G133" t="s">
        <v>16</v>
      </c>
      <c r="H133" t="s">
        <v>14</v>
      </c>
      <c r="I133">
        <v>18</v>
      </c>
      <c r="J133">
        <v>52</v>
      </c>
      <c r="K133">
        <v>936</v>
      </c>
      <c r="L133" t="str">
        <f>IF(tblVendas[[#This Row],[regiao]]="", "Não informado", tblVendas[[#This Row],[regiao]])</f>
        <v>Norte</v>
      </c>
      <c r="M133" t="str">
        <f>IF(tblVendas[[#This Row],[categoria]]="", "Outros", tblVendas[[#This Row],[categoria]])</f>
        <v>Acessórios</v>
      </c>
      <c r="N133">
        <f>IF(tblVendas[[#This Row],[valor_total]]&lt;0, MEDIAN(tblVendas[valor_total]), tblVendas[[#This Row],[valor_total]])</f>
        <v>936</v>
      </c>
    </row>
    <row r="134" spans="1:14" x14ac:dyDescent="0.25">
      <c r="A134" s="1">
        <v>45574</v>
      </c>
      <c r="B134">
        <v>2024</v>
      </c>
      <c r="C134">
        <v>10</v>
      </c>
      <c r="D134">
        <v>4</v>
      </c>
      <c r="E134" t="s">
        <v>22</v>
      </c>
      <c r="F134" t="s">
        <v>23</v>
      </c>
      <c r="G134" t="s">
        <v>20</v>
      </c>
      <c r="H134" t="s">
        <v>26</v>
      </c>
      <c r="I134">
        <v>3</v>
      </c>
      <c r="J134">
        <v>133</v>
      </c>
      <c r="K134">
        <v>399</v>
      </c>
      <c r="L134" t="str">
        <f>IF(tblVendas[[#This Row],[regiao]]="", "Não informado", tblVendas[[#This Row],[regiao]])</f>
        <v>Sul</v>
      </c>
      <c r="M134" t="str">
        <f>IF(tblVendas[[#This Row],[categoria]]="", "Outros", tblVendas[[#This Row],[categoria]])</f>
        <v>Acessórios</v>
      </c>
      <c r="N134">
        <f>IF(tblVendas[[#This Row],[valor_total]]&lt;0, MEDIAN(tblVendas[valor_total]), tblVendas[[#This Row],[valor_total]])</f>
        <v>399</v>
      </c>
    </row>
    <row r="135" spans="1:14" x14ac:dyDescent="0.25">
      <c r="A135" s="1">
        <v>45498</v>
      </c>
      <c r="B135">
        <v>2024</v>
      </c>
      <c r="C135">
        <v>7</v>
      </c>
      <c r="D135">
        <v>3</v>
      </c>
      <c r="E135" t="s">
        <v>25</v>
      </c>
      <c r="F135" t="s">
        <v>12</v>
      </c>
      <c r="G135" t="s">
        <v>24</v>
      </c>
      <c r="H135" t="s">
        <v>17</v>
      </c>
      <c r="I135">
        <v>13</v>
      </c>
      <c r="J135">
        <v>104</v>
      </c>
      <c r="K135">
        <v>1352</v>
      </c>
      <c r="L135" t="str">
        <f>IF(tblVendas[[#This Row],[regiao]]="", "Não informado", tblVendas[[#This Row],[regiao]])</f>
        <v>Leste</v>
      </c>
      <c r="M135" t="str">
        <f>IF(tblVendas[[#This Row],[categoria]]="", "Outros", tblVendas[[#This Row],[categoria]])</f>
        <v>Calçados</v>
      </c>
      <c r="N135">
        <f>IF(tblVendas[[#This Row],[valor_total]]&lt;0, MEDIAN(tblVendas[valor_total]), tblVendas[[#This Row],[valor_total]])</f>
        <v>1352</v>
      </c>
    </row>
    <row r="136" spans="1:14" x14ac:dyDescent="0.25">
      <c r="A136" s="1">
        <v>45306</v>
      </c>
      <c r="B136">
        <v>2024</v>
      </c>
      <c r="C136">
        <v>1</v>
      </c>
      <c r="D136">
        <v>1</v>
      </c>
      <c r="E136" t="s">
        <v>32</v>
      </c>
      <c r="F136" t="s">
        <v>19</v>
      </c>
      <c r="G136" t="s">
        <v>20</v>
      </c>
      <c r="H136" t="s">
        <v>21</v>
      </c>
      <c r="I136">
        <v>11</v>
      </c>
      <c r="J136">
        <v>77</v>
      </c>
      <c r="K136">
        <v>847</v>
      </c>
      <c r="L136" t="str">
        <f>IF(tblVendas[[#This Row],[regiao]]="", "Não informado", tblVendas[[#This Row],[regiao]])</f>
        <v>Centro-Oeste</v>
      </c>
      <c r="M136" t="str">
        <f>IF(tblVendas[[#This Row],[categoria]]="", "Outros", tblVendas[[#This Row],[categoria]])</f>
        <v>Vestuário</v>
      </c>
      <c r="N136">
        <f>IF(tblVendas[[#This Row],[valor_total]]&lt;0, MEDIAN(tblVendas[valor_total]), tblVendas[[#This Row],[valor_total]])</f>
        <v>847</v>
      </c>
    </row>
    <row r="137" spans="1:14" x14ac:dyDescent="0.25">
      <c r="A137" s="1">
        <v>45637</v>
      </c>
      <c r="B137">
        <v>2024</v>
      </c>
      <c r="C137">
        <v>12</v>
      </c>
      <c r="D137">
        <v>4</v>
      </c>
      <c r="E137" t="s">
        <v>11</v>
      </c>
      <c r="F137" t="s">
        <v>23</v>
      </c>
      <c r="G137" t="s">
        <v>16</v>
      </c>
      <c r="H137" t="s">
        <v>29</v>
      </c>
      <c r="I137">
        <v>17</v>
      </c>
      <c r="J137">
        <v>189</v>
      </c>
      <c r="K137">
        <v>3213</v>
      </c>
      <c r="L137" t="str">
        <f>IF(tblVendas[[#This Row],[regiao]]="", "Não informado", tblVendas[[#This Row],[regiao]])</f>
        <v>Oeste</v>
      </c>
      <c r="M137" t="str">
        <f>IF(tblVendas[[#This Row],[categoria]]="", "Outros", tblVendas[[#This Row],[categoria]])</f>
        <v>Acessórios</v>
      </c>
      <c r="N137">
        <f>IF(tblVendas[[#This Row],[valor_total]]&lt;0, MEDIAN(tblVendas[valor_total]), tblVendas[[#This Row],[valor_total]])</f>
        <v>3213</v>
      </c>
    </row>
    <row r="138" spans="1:14" x14ac:dyDescent="0.25">
      <c r="A138" s="1">
        <v>45333</v>
      </c>
      <c r="B138">
        <v>2024</v>
      </c>
      <c r="C138">
        <v>2</v>
      </c>
      <c r="D138">
        <v>1</v>
      </c>
      <c r="E138" t="s">
        <v>18</v>
      </c>
      <c r="F138" t="s">
        <v>12</v>
      </c>
      <c r="G138" t="s">
        <v>16</v>
      </c>
      <c r="H138" t="s">
        <v>26</v>
      </c>
      <c r="I138">
        <v>13</v>
      </c>
      <c r="J138">
        <v>86</v>
      </c>
      <c r="K138">
        <v>1118</v>
      </c>
      <c r="L138" t="str">
        <f>IF(tblVendas[[#This Row],[regiao]]="", "Não informado", tblVendas[[#This Row],[regiao]])</f>
        <v>Sul</v>
      </c>
      <c r="M138" t="str">
        <f>IF(tblVendas[[#This Row],[categoria]]="", "Outros", tblVendas[[#This Row],[categoria]])</f>
        <v>Calçados</v>
      </c>
      <c r="N138">
        <f>IF(tblVendas[[#This Row],[valor_total]]&lt;0, MEDIAN(tblVendas[valor_total]), tblVendas[[#This Row],[valor_total]])</f>
        <v>1118</v>
      </c>
    </row>
    <row r="139" spans="1:14" x14ac:dyDescent="0.25">
      <c r="A139" s="1">
        <v>45470</v>
      </c>
      <c r="B139">
        <v>2024</v>
      </c>
      <c r="C139">
        <v>6</v>
      </c>
      <c r="D139">
        <v>2</v>
      </c>
      <c r="E139" t="s">
        <v>27</v>
      </c>
      <c r="F139" t="s">
        <v>19</v>
      </c>
      <c r="G139" t="s">
        <v>24</v>
      </c>
      <c r="H139" t="s">
        <v>17</v>
      </c>
      <c r="I139">
        <v>6</v>
      </c>
      <c r="J139">
        <v>147</v>
      </c>
      <c r="K139">
        <v>882</v>
      </c>
      <c r="L139" t="str">
        <f>IF(tblVendas[[#This Row],[regiao]]="", "Não informado", tblVendas[[#This Row],[regiao]])</f>
        <v>Leste</v>
      </c>
      <c r="M139" t="str">
        <f>IF(tblVendas[[#This Row],[categoria]]="", "Outros", tblVendas[[#This Row],[categoria]])</f>
        <v>Vestuário</v>
      </c>
      <c r="N139">
        <f>IF(tblVendas[[#This Row],[valor_total]]&lt;0, MEDIAN(tblVendas[valor_total]), tblVendas[[#This Row],[valor_total]])</f>
        <v>882</v>
      </c>
    </row>
    <row r="140" spans="1:14" x14ac:dyDescent="0.25">
      <c r="A140" s="1">
        <v>45354</v>
      </c>
      <c r="B140">
        <v>2024</v>
      </c>
      <c r="C140">
        <v>3</v>
      </c>
      <c r="D140">
        <v>1</v>
      </c>
      <c r="E140" t="s">
        <v>32</v>
      </c>
      <c r="F140" t="s">
        <v>19</v>
      </c>
      <c r="G140" t="s">
        <v>20</v>
      </c>
      <c r="H140" t="s">
        <v>29</v>
      </c>
      <c r="I140">
        <v>17</v>
      </c>
      <c r="J140">
        <v>129</v>
      </c>
      <c r="K140">
        <v>2193</v>
      </c>
      <c r="L140" t="str">
        <f>IF(tblVendas[[#This Row],[regiao]]="", "Não informado", tblVendas[[#This Row],[regiao]])</f>
        <v>Oeste</v>
      </c>
      <c r="M140" t="str">
        <f>IF(tblVendas[[#This Row],[categoria]]="", "Outros", tblVendas[[#This Row],[categoria]])</f>
        <v>Vestuário</v>
      </c>
      <c r="N140">
        <f>IF(tblVendas[[#This Row],[valor_total]]&lt;0, MEDIAN(tblVendas[valor_total]), tblVendas[[#This Row],[valor_total]])</f>
        <v>2193</v>
      </c>
    </row>
    <row r="141" spans="1:14" x14ac:dyDescent="0.25">
      <c r="A141" s="1">
        <v>45643</v>
      </c>
      <c r="B141">
        <v>2024</v>
      </c>
      <c r="C141">
        <v>12</v>
      </c>
      <c r="D141">
        <v>4</v>
      </c>
      <c r="E141" t="s">
        <v>18</v>
      </c>
      <c r="F141" t="s">
        <v>19</v>
      </c>
      <c r="G141" t="s">
        <v>16</v>
      </c>
      <c r="H141" t="s">
        <v>29</v>
      </c>
      <c r="I141">
        <v>13</v>
      </c>
      <c r="J141">
        <v>153</v>
      </c>
      <c r="K141">
        <v>1989</v>
      </c>
      <c r="L141" t="str">
        <f>IF(tblVendas[[#This Row],[regiao]]="", "Não informado", tblVendas[[#This Row],[regiao]])</f>
        <v>Oeste</v>
      </c>
      <c r="M141" t="str">
        <f>IF(tblVendas[[#This Row],[categoria]]="", "Outros", tblVendas[[#This Row],[categoria]])</f>
        <v>Vestuário</v>
      </c>
      <c r="N141">
        <f>IF(tblVendas[[#This Row],[valor_total]]&lt;0, MEDIAN(tblVendas[valor_total]), tblVendas[[#This Row],[valor_total]])</f>
        <v>1989</v>
      </c>
    </row>
    <row r="142" spans="1:14" x14ac:dyDescent="0.25">
      <c r="A142" s="1">
        <v>45522</v>
      </c>
      <c r="B142">
        <v>2024</v>
      </c>
      <c r="C142">
        <v>8</v>
      </c>
      <c r="D142">
        <v>3</v>
      </c>
      <c r="E142" t="s">
        <v>32</v>
      </c>
      <c r="F142" t="s">
        <v>19</v>
      </c>
      <c r="G142" t="s">
        <v>13</v>
      </c>
      <c r="H142" t="s">
        <v>26</v>
      </c>
      <c r="I142">
        <v>19</v>
      </c>
      <c r="J142">
        <v>190</v>
      </c>
      <c r="K142">
        <v>3610</v>
      </c>
      <c r="L142" t="str">
        <f>IF(tblVendas[[#This Row],[regiao]]="", "Não informado", tblVendas[[#This Row],[regiao]])</f>
        <v>Sul</v>
      </c>
      <c r="M142" t="str">
        <f>IF(tblVendas[[#This Row],[categoria]]="", "Outros", tblVendas[[#This Row],[categoria]])</f>
        <v>Vestuário</v>
      </c>
      <c r="N142">
        <f>IF(tblVendas[[#This Row],[valor_total]]&lt;0, MEDIAN(tblVendas[valor_total]), tblVendas[[#This Row],[valor_total]])</f>
        <v>3610</v>
      </c>
    </row>
    <row r="143" spans="1:14" x14ac:dyDescent="0.25">
      <c r="A143" s="1">
        <v>45532</v>
      </c>
      <c r="B143">
        <v>2024</v>
      </c>
      <c r="C143">
        <v>8</v>
      </c>
      <c r="D143">
        <v>3</v>
      </c>
      <c r="E143" t="s">
        <v>25</v>
      </c>
      <c r="F143" t="s">
        <v>23</v>
      </c>
      <c r="G143" t="s">
        <v>28</v>
      </c>
      <c r="H143" t="s">
        <v>14</v>
      </c>
      <c r="I143">
        <v>19</v>
      </c>
      <c r="J143">
        <v>181</v>
      </c>
      <c r="K143">
        <v>3439</v>
      </c>
      <c r="L143" t="str">
        <f>IF(tblVendas[[#This Row],[regiao]]="", "Não informado", tblVendas[[#This Row],[regiao]])</f>
        <v>Norte</v>
      </c>
      <c r="M143" t="str">
        <f>IF(tblVendas[[#This Row],[categoria]]="", "Outros", tblVendas[[#This Row],[categoria]])</f>
        <v>Acessórios</v>
      </c>
      <c r="N143">
        <f>IF(tblVendas[[#This Row],[valor_total]]&lt;0, MEDIAN(tblVendas[valor_total]), tblVendas[[#This Row],[valor_total]])</f>
        <v>3439</v>
      </c>
    </row>
    <row r="144" spans="1:14" x14ac:dyDescent="0.25">
      <c r="A144" s="1">
        <v>45343</v>
      </c>
      <c r="B144">
        <v>2024</v>
      </c>
      <c r="C144">
        <v>2</v>
      </c>
      <c r="D144">
        <v>1</v>
      </c>
      <c r="E144" t="s">
        <v>18</v>
      </c>
      <c r="F144" t="s">
        <v>23</v>
      </c>
      <c r="G144" t="s">
        <v>28</v>
      </c>
      <c r="H144" t="s">
        <v>26</v>
      </c>
      <c r="I144">
        <v>10</v>
      </c>
      <c r="J144">
        <v>196</v>
      </c>
      <c r="K144">
        <v>1960</v>
      </c>
      <c r="L144" t="str">
        <f>IF(tblVendas[[#This Row],[regiao]]="", "Não informado", tblVendas[[#This Row],[regiao]])</f>
        <v>Sul</v>
      </c>
      <c r="M144" t="str">
        <f>IF(tblVendas[[#This Row],[categoria]]="", "Outros", tblVendas[[#This Row],[categoria]])</f>
        <v>Acessórios</v>
      </c>
      <c r="N144">
        <f>IF(tblVendas[[#This Row],[valor_total]]&lt;0, MEDIAN(tblVendas[valor_total]), tblVendas[[#This Row],[valor_total]])</f>
        <v>1960</v>
      </c>
    </row>
    <row r="145" spans="1:14" x14ac:dyDescent="0.25">
      <c r="A145" s="1">
        <v>45387</v>
      </c>
      <c r="B145">
        <v>2024</v>
      </c>
      <c r="C145">
        <v>4</v>
      </c>
      <c r="D145">
        <v>2</v>
      </c>
      <c r="E145" t="s">
        <v>33</v>
      </c>
      <c r="F145" t="s">
        <v>12</v>
      </c>
      <c r="G145" t="s">
        <v>28</v>
      </c>
      <c r="H145" t="s">
        <v>17</v>
      </c>
      <c r="I145">
        <v>3</v>
      </c>
      <c r="J145">
        <v>63</v>
      </c>
      <c r="K145">
        <v>189</v>
      </c>
      <c r="L145" t="str">
        <f>IF(tblVendas[[#This Row],[regiao]]="", "Não informado", tblVendas[[#This Row],[regiao]])</f>
        <v>Leste</v>
      </c>
      <c r="M145" t="str">
        <f>IF(tblVendas[[#This Row],[categoria]]="", "Outros", tblVendas[[#This Row],[categoria]])</f>
        <v>Calçados</v>
      </c>
      <c r="N145">
        <f>IF(tblVendas[[#This Row],[valor_total]]&lt;0, MEDIAN(tblVendas[valor_total]), tblVendas[[#This Row],[valor_total]])</f>
        <v>189</v>
      </c>
    </row>
    <row r="146" spans="1:14" x14ac:dyDescent="0.25">
      <c r="A146" s="1">
        <v>45513</v>
      </c>
      <c r="B146">
        <v>2024</v>
      </c>
      <c r="C146">
        <v>8</v>
      </c>
      <c r="D146">
        <v>3</v>
      </c>
      <c r="E146" t="s">
        <v>30</v>
      </c>
      <c r="F146" t="s">
        <v>12</v>
      </c>
      <c r="G146" t="s">
        <v>20</v>
      </c>
      <c r="H146" t="s">
        <v>29</v>
      </c>
      <c r="I146">
        <v>14</v>
      </c>
      <c r="J146">
        <v>185</v>
      </c>
      <c r="K146">
        <v>2590</v>
      </c>
      <c r="L146" t="str">
        <f>IF(tblVendas[[#This Row],[regiao]]="", "Não informado", tblVendas[[#This Row],[regiao]])</f>
        <v>Oeste</v>
      </c>
      <c r="M146" t="str">
        <f>IF(tblVendas[[#This Row],[categoria]]="", "Outros", tblVendas[[#This Row],[categoria]])</f>
        <v>Calçados</v>
      </c>
      <c r="N146">
        <f>IF(tblVendas[[#This Row],[valor_total]]&lt;0, MEDIAN(tblVendas[valor_total]), tblVendas[[#This Row],[valor_total]])</f>
        <v>2590</v>
      </c>
    </row>
    <row r="147" spans="1:14" x14ac:dyDescent="0.25">
      <c r="A147" s="1">
        <v>45522</v>
      </c>
      <c r="B147">
        <v>2024</v>
      </c>
      <c r="C147">
        <v>8</v>
      </c>
      <c r="D147">
        <v>3</v>
      </c>
      <c r="E147" t="s">
        <v>33</v>
      </c>
      <c r="F147" t="s">
        <v>12</v>
      </c>
      <c r="G147" t="s">
        <v>24</v>
      </c>
      <c r="H147" t="s">
        <v>26</v>
      </c>
      <c r="I147">
        <v>19</v>
      </c>
      <c r="J147">
        <v>194</v>
      </c>
      <c r="K147">
        <v>3686</v>
      </c>
      <c r="L147" t="str">
        <f>IF(tblVendas[[#This Row],[regiao]]="", "Não informado", tblVendas[[#This Row],[regiao]])</f>
        <v>Sul</v>
      </c>
      <c r="M147" t="str">
        <f>IF(tblVendas[[#This Row],[categoria]]="", "Outros", tblVendas[[#This Row],[categoria]])</f>
        <v>Calçados</v>
      </c>
      <c r="N147">
        <f>IF(tblVendas[[#This Row],[valor_total]]&lt;0, MEDIAN(tblVendas[valor_total]), tblVendas[[#This Row],[valor_total]])</f>
        <v>3686</v>
      </c>
    </row>
    <row r="148" spans="1:14" x14ac:dyDescent="0.25">
      <c r="A148" s="1">
        <v>45528</v>
      </c>
      <c r="B148">
        <v>2024</v>
      </c>
      <c r="C148">
        <v>8</v>
      </c>
      <c r="D148">
        <v>3</v>
      </c>
      <c r="E148" t="s">
        <v>31</v>
      </c>
      <c r="F148" t="s">
        <v>19</v>
      </c>
      <c r="G148" t="s">
        <v>16</v>
      </c>
      <c r="H148" t="s">
        <v>14</v>
      </c>
      <c r="I148">
        <v>5</v>
      </c>
      <c r="J148">
        <v>36</v>
      </c>
      <c r="K148">
        <v>180</v>
      </c>
      <c r="L148" t="str">
        <f>IF(tblVendas[[#This Row],[regiao]]="", "Não informado", tblVendas[[#This Row],[regiao]])</f>
        <v>Norte</v>
      </c>
      <c r="M148" t="str">
        <f>IF(tblVendas[[#This Row],[categoria]]="", "Outros", tblVendas[[#This Row],[categoria]])</f>
        <v>Vestuário</v>
      </c>
      <c r="N148">
        <f>IF(tblVendas[[#This Row],[valor_total]]&lt;0, MEDIAN(tblVendas[valor_total]), tblVendas[[#This Row],[valor_total]])</f>
        <v>180</v>
      </c>
    </row>
    <row r="149" spans="1:14" x14ac:dyDescent="0.25">
      <c r="A149" s="1">
        <v>45434</v>
      </c>
      <c r="B149">
        <v>2024</v>
      </c>
      <c r="C149">
        <v>5</v>
      </c>
      <c r="D149">
        <v>2</v>
      </c>
      <c r="E149" t="s">
        <v>30</v>
      </c>
      <c r="F149" t="s">
        <v>19</v>
      </c>
      <c r="G149" t="s">
        <v>13</v>
      </c>
      <c r="H149" t="s">
        <v>26</v>
      </c>
      <c r="I149">
        <v>5</v>
      </c>
      <c r="J149">
        <v>194</v>
      </c>
      <c r="K149">
        <v>970</v>
      </c>
      <c r="L149" t="str">
        <f>IF(tblVendas[[#This Row],[regiao]]="", "Não informado", tblVendas[[#This Row],[regiao]])</f>
        <v>Sul</v>
      </c>
      <c r="M149" t="str">
        <f>IF(tblVendas[[#This Row],[categoria]]="", "Outros", tblVendas[[#This Row],[categoria]])</f>
        <v>Vestuário</v>
      </c>
      <c r="N149">
        <f>IF(tblVendas[[#This Row],[valor_total]]&lt;0, MEDIAN(tblVendas[valor_total]), tblVendas[[#This Row],[valor_total]])</f>
        <v>970</v>
      </c>
    </row>
    <row r="150" spans="1:14" x14ac:dyDescent="0.25">
      <c r="A150" s="1">
        <v>45462</v>
      </c>
      <c r="B150">
        <v>2024</v>
      </c>
      <c r="C150">
        <v>6</v>
      </c>
      <c r="D150">
        <v>2</v>
      </c>
      <c r="E150" t="s">
        <v>33</v>
      </c>
      <c r="F150" t="s">
        <v>23</v>
      </c>
      <c r="G150" t="s">
        <v>13</v>
      </c>
      <c r="H150" t="s">
        <v>21</v>
      </c>
      <c r="I150">
        <v>17</v>
      </c>
      <c r="J150">
        <v>85</v>
      </c>
      <c r="K150">
        <v>1445</v>
      </c>
      <c r="L150" t="str">
        <f>IF(tblVendas[[#This Row],[regiao]]="", "Não informado", tblVendas[[#This Row],[regiao]])</f>
        <v>Centro-Oeste</v>
      </c>
      <c r="M150" t="str">
        <f>IF(tblVendas[[#This Row],[categoria]]="", "Outros", tblVendas[[#This Row],[categoria]])</f>
        <v>Acessórios</v>
      </c>
      <c r="N150">
        <f>IF(tblVendas[[#This Row],[valor_total]]&lt;0, MEDIAN(tblVendas[valor_total]), tblVendas[[#This Row],[valor_total]])</f>
        <v>1445</v>
      </c>
    </row>
    <row r="151" spans="1:14" x14ac:dyDescent="0.25">
      <c r="A151" s="1">
        <v>45320</v>
      </c>
      <c r="B151">
        <v>2024</v>
      </c>
      <c r="C151">
        <v>1</v>
      </c>
      <c r="D151">
        <v>1</v>
      </c>
      <c r="E151" t="s">
        <v>30</v>
      </c>
      <c r="F151" t="s">
        <v>19</v>
      </c>
      <c r="G151" t="s">
        <v>20</v>
      </c>
      <c r="H151" t="s">
        <v>14</v>
      </c>
      <c r="I151">
        <v>10</v>
      </c>
      <c r="J151">
        <v>94</v>
      </c>
      <c r="K151">
        <v>940</v>
      </c>
      <c r="L151" t="str">
        <f>IF(tblVendas[[#This Row],[regiao]]="", "Não informado", tblVendas[[#This Row],[regiao]])</f>
        <v>Norte</v>
      </c>
      <c r="M151" t="str">
        <f>IF(tblVendas[[#This Row],[categoria]]="", "Outros", tblVendas[[#This Row],[categoria]])</f>
        <v>Vestuário</v>
      </c>
      <c r="N151">
        <f>IF(tblVendas[[#This Row],[valor_total]]&lt;0, MEDIAN(tblVendas[valor_total]), tblVendas[[#This Row],[valor_total]])</f>
        <v>940</v>
      </c>
    </row>
    <row r="152" spans="1:14" x14ac:dyDescent="0.25">
      <c r="A152" s="1">
        <v>45327</v>
      </c>
      <c r="B152">
        <v>2024</v>
      </c>
      <c r="C152">
        <v>2</v>
      </c>
      <c r="D152">
        <v>1</v>
      </c>
      <c r="E152" t="s">
        <v>30</v>
      </c>
      <c r="F152" t="s">
        <v>19</v>
      </c>
      <c r="G152" t="s">
        <v>28</v>
      </c>
      <c r="H152" t="s">
        <v>17</v>
      </c>
      <c r="I152">
        <v>5</v>
      </c>
      <c r="J152">
        <v>76</v>
      </c>
      <c r="K152">
        <v>380</v>
      </c>
      <c r="L152" t="str">
        <f>IF(tblVendas[[#This Row],[regiao]]="", "Não informado", tblVendas[[#This Row],[regiao]])</f>
        <v>Leste</v>
      </c>
      <c r="M152" t="str">
        <f>IF(tblVendas[[#This Row],[categoria]]="", "Outros", tblVendas[[#This Row],[categoria]])</f>
        <v>Vestuário</v>
      </c>
      <c r="N152">
        <f>IF(tblVendas[[#This Row],[valor_total]]&lt;0, MEDIAN(tblVendas[valor_total]), tblVendas[[#This Row],[valor_total]])</f>
        <v>380</v>
      </c>
    </row>
    <row r="153" spans="1:14" x14ac:dyDescent="0.25">
      <c r="A153" s="1">
        <v>45304</v>
      </c>
      <c r="B153">
        <v>2024</v>
      </c>
      <c r="C153">
        <v>1</v>
      </c>
      <c r="D153">
        <v>1</v>
      </c>
      <c r="E153" t="s">
        <v>22</v>
      </c>
      <c r="F153" t="s">
        <v>19</v>
      </c>
      <c r="G153" t="s">
        <v>20</v>
      </c>
      <c r="H153" t="s">
        <v>29</v>
      </c>
      <c r="I153">
        <v>4</v>
      </c>
      <c r="J153">
        <v>177</v>
      </c>
      <c r="K153">
        <v>708</v>
      </c>
      <c r="L153" t="str">
        <f>IF(tblVendas[[#This Row],[regiao]]="", "Não informado", tblVendas[[#This Row],[regiao]])</f>
        <v>Oeste</v>
      </c>
      <c r="M153" t="str">
        <f>IF(tblVendas[[#This Row],[categoria]]="", "Outros", tblVendas[[#This Row],[categoria]])</f>
        <v>Vestuário</v>
      </c>
      <c r="N153">
        <f>IF(tblVendas[[#This Row],[valor_total]]&lt;0, MEDIAN(tblVendas[valor_total]), tblVendas[[#This Row],[valor_total]])</f>
        <v>708</v>
      </c>
    </row>
    <row r="154" spans="1:14" x14ac:dyDescent="0.25">
      <c r="A154" s="1">
        <v>45451</v>
      </c>
      <c r="B154">
        <v>2024</v>
      </c>
      <c r="C154">
        <v>6</v>
      </c>
      <c r="D154">
        <v>2</v>
      </c>
      <c r="E154" t="s">
        <v>27</v>
      </c>
      <c r="F154" t="s">
        <v>12</v>
      </c>
      <c r="G154" t="s">
        <v>24</v>
      </c>
      <c r="H154" t="s">
        <v>26</v>
      </c>
      <c r="I154">
        <v>6</v>
      </c>
      <c r="J154">
        <v>48</v>
      </c>
      <c r="K154">
        <v>288</v>
      </c>
      <c r="L154" t="str">
        <f>IF(tblVendas[[#This Row],[regiao]]="", "Não informado", tblVendas[[#This Row],[regiao]])</f>
        <v>Sul</v>
      </c>
      <c r="M154" t="str">
        <f>IF(tblVendas[[#This Row],[categoria]]="", "Outros", tblVendas[[#This Row],[categoria]])</f>
        <v>Calçados</v>
      </c>
      <c r="N154">
        <f>IF(tblVendas[[#This Row],[valor_total]]&lt;0, MEDIAN(tblVendas[valor_total]), tblVendas[[#This Row],[valor_total]])</f>
        <v>288</v>
      </c>
    </row>
    <row r="155" spans="1:14" x14ac:dyDescent="0.25">
      <c r="A155" s="1">
        <v>45618</v>
      </c>
      <c r="B155">
        <v>2024</v>
      </c>
      <c r="C155">
        <v>11</v>
      </c>
      <c r="D155">
        <v>4</v>
      </c>
      <c r="E155" t="s">
        <v>27</v>
      </c>
      <c r="F155" t="s">
        <v>12</v>
      </c>
      <c r="G155" t="s">
        <v>24</v>
      </c>
      <c r="H155" t="s">
        <v>14</v>
      </c>
      <c r="I155">
        <v>4</v>
      </c>
      <c r="J155">
        <v>186</v>
      </c>
      <c r="K155">
        <v>744</v>
      </c>
      <c r="L155" t="str">
        <f>IF(tblVendas[[#This Row],[regiao]]="", "Não informado", tblVendas[[#This Row],[regiao]])</f>
        <v>Norte</v>
      </c>
      <c r="M155" t="str">
        <f>IF(tblVendas[[#This Row],[categoria]]="", "Outros", tblVendas[[#This Row],[categoria]])</f>
        <v>Calçados</v>
      </c>
      <c r="N155">
        <f>IF(tblVendas[[#This Row],[valor_total]]&lt;0, MEDIAN(tblVendas[valor_total]), tblVendas[[#This Row],[valor_total]])</f>
        <v>744</v>
      </c>
    </row>
    <row r="156" spans="1:14" x14ac:dyDescent="0.25">
      <c r="A156" s="1">
        <v>45478</v>
      </c>
      <c r="B156">
        <v>2024</v>
      </c>
      <c r="C156">
        <v>7</v>
      </c>
      <c r="D156">
        <v>3</v>
      </c>
      <c r="E156" t="s">
        <v>22</v>
      </c>
      <c r="F156" t="s">
        <v>23</v>
      </c>
      <c r="G156" t="s">
        <v>16</v>
      </c>
      <c r="H156" t="s">
        <v>21</v>
      </c>
      <c r="I156">
        <v>7</v>
      </c>
      <c r="J156">
        <v>175</v>
      </c>
      <c r="K156">
        <v>1225</v>
      </c>
      <c r="L156" t="str">
        <f>IF(tblVendas[[#This Row],[regiao]]="", "Não informado", tblVendas[[#This Row],[regiao]])</f>
        <v>Centro-Oeste</v>
      </c>
      <c r="M156" t="str">
        <f>IF(tblVendas[[#This Row],[categoria]]="", "Outros", tblVendas[[#This Row],[categoria]])</f>
        <v>Acessórios</v>
      </c>
      <c r="N156">
        <f>IF(tblVendas[[#This Row],[valor_total]]&lt;0, MEDIAN(tblVendas[valor_total]), tblVendas[[#This Row],[valor_total]])</f>
        <v>1225</v>
      </c>
    </row>
    <row r="157" spans="1:14" x14ac:dyDescent="0.25">
      <c r="A157" s="1">
        <v>45534</v>
      </c>
      <c r="B157">
        <v>2024</v>
      </c>
      <c r="C157">
        <v>8</v>
      </c>
      <c r="D157">
        <v>3</v>
      </c>
      <c r="E157" t="s">
        <v>32</v>
      </c>
      <c r="F157" t="s">
        <v>19</v>
      </c>
      <c r="G157" t="s">
        <v>16</v>
      </c>
      <c r="H157" t="s">
        <v>14</v>
      </c>
      <c r="I157">
        <v>7</v>
      </c>
      <c r="J157">
        <v>192</v>
      </c>
      <c r="K157">
        <v>1344</v>
      </c>
      <c r="L157" t="str">
        <f>IF(tblVendas[[#This Row],[regiao]]="", "Não informado", tblVendas[[#This Row],[regiao]])</f>
        <v>Norte</v>
      </c>
      <c r="M157" t="str">
        <f>IF(tblVendas[[#This Row],[categoria]]="", "Outros", tblVendas[[#This Row],[categoria]])</f>
        <v>Vestuário</v>
      </c>
      <c r="N157">
        <f>IF(tblVendas[[#This Row],[valor_total]]&lt;0, MEDIAN(tblVendas[valor_total]), tblVendas[[#This Row],[valor_total]])</f>
        <v>1344</v>
      </c>
    </row>
    <row r="158" spans="1:14" x14ac:dyDescent="0.25">
      <c r="A158" s="1">
        <v>45377</v>
      </c>
      <c r="B158">
        <v>2024</v>
      </c>
      <c r="C158">
        <v>3</v>
      </c>
      <c r="D158">
        <v>1</v>
      </c>
      <c r="E158" t="s">
        <v>15</v>
      </c>
      <c r="F158" t="s">
        <v>19</v>
      </c>
      <c r="G158" t="s">
        <v>24</v>
      </c>
      <c r="H158" t="s">
        <v>21</v>
      </c>
      <c r="I158">
        <v>18</v>
      </c>
      <c r="J158">
        <v>155</v>
      </c>
      <c r="K158">
        <v>2790</v>
      </c>
      <c r="L158" t="str">
        <f>IF(tblVendas[[#This Row],[regiao]]="", "Não informado", tblVendas[[#This Row],[regiao]])</f>
        <v>Centro-Oeste</v>
      </c>
      <c r="M158" t="str">
        <f>IF(tblVendas[[#This Row],[categoria]]="", "Outros", tblVendas[[#This Row],[categoria]])</f>
        <v>Vestuário</v>
      </c>
      <c r="N158">
        <f>IF(tblVendas[[#This Row],[valor_total]]&lt;0, MEDIAN(tblVendas[valor_total]), tblVendas[[#This Row],[valor_total]])</f>
        <v>2790</v>
      </c>
    </row>
    <row r="159" spans="1:14" x14ac:dyDescent="0.25">
      <c r="A159" s="1">
        <v>45575</v>
      </c>
      <c r="B159">
        <v>2024</v>
      </c>
      <c r="C159">
        <v>10</v>
      </c>
      <c r="D159">
        <v>4</v>
      </c>
      <c r="E159" t="s">
        <v>32</v>
      </c>
      <c r="F159" t="s">
        <v>23</v>
      </c>
      <c r="G159" t="s">
        <v>24</v>
      </c>
      <c r="H159" t="s">
        <v>17</v>
      </c>
      <c r="I159">
        <v>3</v>
      </c>
      <c r="J159">
        <v>168</v>
      </c>
      <c r="K159">
        <v>504</v>
      </c>
      <c r="L159" t="str">
        <f>IF(tblVendas[[#This Row],[regiao]]="", "Não informado", tblVendas[[#This Row],[regiao]])</f>
        <v>Leste</v>
      </c>
      <c r="M159" t="str">
        <f>IF(tblVendas[[#This Row],[categoria]]="", "Outros", tblVendas[[#This Row],[categoria]])</f>
        <v>Acessórios</v>
      </c>
      <c r="N159">
        <f>IF(tblVendas[[#This Row],[valor_total]]&lt;0, MEDIAN(tblVendas[valor_total]), tblVendas[[#This Row],[valor_total]])</f>
        <v>504</v>
      </c>
    </row>
    <row r="160" spans="1:14" x14ac:dyDescent="0.25">
      <c r="A160" s="1">
        <v>45357</v>
      </c>
      <c r="B160">
        <v>2024</v>
      </c>
      <c r="C160">
        <v>3</v>
      </c>
      <c r="D160">
        <v>1</v>
      </c>
      <c r="E160" t="s">
        <v>18</v>
      </c>
      <c r="F160" t="s">
        <v>19</v>
      </c>
      <c r="G160" t="s">
        <v>24</v>
      </c>
      <c r="H160" t="s">
        <v>29</v>
      </c>
      <c r="I160">
        <v>1</v>
      </c>
      <c r="J160">
        <v>78</v>
      </c>
      <c r="K160">
        <v>78</v>
      </c>
      <c r="L160" t="str">
        <f>IF(tblVendas[[#This Row],[regiao]]="", "Não informado", tblVendas[[#This Row],[regiao]])</f>
        <v>Oeste</v>
      </c>
      <c r="M160" t="str">
        <f>IF(tblVendas[[#This Row],[categoria]]="", "Outros", tblVendas[[#This Row],[categoria]])</f>
        <v>Vestuário</v>
      </c>
      <c r="N160">
        <f>IF(tblVendas[[#This Row],[valor_total]]&lt;0, MEDIAN(tblVendas[valor_total]), tblVendas[[#This Row],[valor_total]])</f>
        <v>78</v>
      </c>
    </row>
    <row r="161" spans="1:14" x14ac:dyDescent="0.25">
      <c r="A161" s="1">
        <v>45461</v>
      </c>
      <c r="B161">
        <v>2024</v>
      </c>
      <c r="C161">
        <v>6</v>
      </c>
      <c r="D161">
        <v>2</v>
      </c>
      <c r="E161" t="s">
        <v>18</v>
      </c>
      <c r="F161" t="s">
        <v>19</v>
      </c>
      <c r="G161" t="s">
        <v>20</v>
      </c>
      <c r="H161" t="s">
        <v>17</v>
      </c>
      <c r="I161">
        <v>4</v>
      </c>
      <c r="J161">
        <v>142</v>
      </c>
      <c r="K161">
        <v>568</v>
      </c>
      <c r="L161" t="str">
        <f>IF(tblVendas[[#This Row],[regiao]]="", "Não informado", tblVendas[[#This Row],[regiao]])</f>
        <v>Leste</v>
      </c>
      <c r="M161" t="str">
        <f>IF(tblVendas[[#This Row],[categoria]]="", "Outros", tblVendas[[#This Row],[categoria]])</f>
        <v>Vestuário</v>
      </c>
      <c r="N161">
        <f>IF(tblVendas[[#This Row],[valor_total]]&lt;0, MEDIAN(tblVendas[valor_total]), tblVendas[[#This Row],[valor_total]])</f>
        <v>568</v>
      </c>
    </row>
    <row r="162" spans="1:14" x14ac:dyDescent="0.25">
      <c r="A162" s="1">
        <v>45336</v>
      </c>
      <c r="B162">
        <v>2024</v>
      </c>
      <c r="C162">
        <v>2</v>
      </c>
      <c r="D162">
        <v>1</v>
      </c>
      <c r="E162" t="s">
        <v>30</v>
      </c>
      <c r="F162" t="s">
        <v>12</v>
      </c>
      <c r="G162" t="s">
        <v>24</v>
      </c>
      <c r="H162" t="s">
        <v>26</v>
      </c>
      <c r="I162">
        <v>6</v>
      </c>
      <c r="J162">
        <v>67</v>
      </c>
      <c r="K162">
        <v>402</v>
      </c>
      <c r="L162" t="str">
        <f>IF(tblVendas[[#This Row],[regiao]]="", "Não informado", tblVendas[[#This Row],[regiao]])</f>
        <v>Sul</v>
      </c>
      <c r="M162" t="str">
        <f>IF(tblVendas[[#This Row],[categoria]]="", "Outros", tblVendas[[#This Row],[categoria]])</f>
        <v>Calçados</v>
      </c>
      <c r="N162">
        <f>IF(tblVendas[[#This Row],[valor_total]]&lt;0, MEDIAN(tblVendas[valor_total]), tblVendas[[#This Row],[valor_total]])</f>
        <v>402</v>
      </c>
    </row>
    <row r="163" spans="1:14" x14ac:dyDescent="0.25">
      <c r="A163" s="1">
        <v>45353</v>
      </c>
      <c r="B163">
        <v>2024</v>
      </c>
      <c r="C163">
        <v>3</v>
      </c>
      <c r="D163">
        <v>1</v>
      </c>
      <c r="E163" t="s">
        <v>33</v>
      </c>
      <c r="F163" t="s">
        <v>23</v>
      </c>
      <c r="G163" t="s">
        <v>13</v>
      </c>
      <c r="H163" t="s">
        <v>14</v>
      </c>
      <c r="I163">
        <v>9</v>
      </c>
      <c r="J163">
        <v>93</v>
      </c>
      <c r="K163">
        <v>837</v>
      </c>
      <c r="L163" t="str">
        <f>IF(tblVendas[[#This Row],[regiao]]="", "Não informado", tblVendas[[#This Row],[regiao]])</f>
        <v>Norte</v>
      </c>
      <c r="M163" t="str">
        <f>IF(tblVendas[[#This Row],[categoria]]="", "Outros", tblVendas[[#This Row],[categoria]])</f>
        <v>Acessórios</v>
      </c>
      <c r="N163">
        <f>IF(tblVendas[[#This Row],[valor_total]]&lt;0, MEDIAN(tblVendas[valor_total]), tblVendas[[#This Row],[valor_total]])</f>
        <v>837</v>
      </c>
    </row>
    <row r="164" spans="1:14" x14ac:dyDescent="0.25">
      <c r="A164" s="1">
        <v>45425</v>
      </c>
      <c r="B164">
        <v>2024</v>
      </c>
      <c r="C164">
        <v>5</v>
      </c>
      <c r="D164">
        <v>2</v>
      </c>
      <c r="E164" t="s">
        <v>33</v>
      </c>
      <c r="F164" t="s">
        <v>23</v>
      </c>
      <c r="G164" t="s">
        <v>28</v>
      </c>
      <c r="H164" t="s">
        <v>21</v>
      </c>
      <c r="I164">
        <v>14</v>
      </c>
      <c r="J164">
        <v>98</v>
      </c>
      <c r="K164">
        <v>1372</v>
      </c>
      <c r="L164" t="str">
        <f>IF(tblVendas[[#This Row],[regiao]]="", "Não informado", tblVendas[[#This Row],[regiao]])</f>
        <v>Centro-Oeste</v>
      </c>
      <c r="M164" t="str">
        <f>IF(tblVendas[[#This Row],[categoria]]="", "Outros", tblVendas[[#This Row],[categoria]])</f>
        <v>Acessórios</v>
      </c>
      <c r="N164">
        <f>IF(tblVendas[[#This Row],[valor_total]]&lt;0, MEDIAN(tblVendas[valor_total]), tblVendas[[#This Row],[valor_total]])</f>
        <v>1372</v>
      </c>
    </row>
    <row r="165" spans="1:14" x14ac:dyDescent="0.25">
      <c r="A165" s="1">
        <v>45575</v>
      </c>
      <c r="B165">
        <v>2024</v>
      </c>
      <c r="C165">
        <v>10</v>
      </c>
      <c r="D165">
        <v>4</v>
      </c>
      <c r="E165" t="s">
        <v>27</v>
      </c>
      <c r="F165" t="s">
        <v>23</v>
      </c>
      <c r="G165" t="s">
        <v>24</v>
      </c>
      <c r="H165" t="s">
        <v>21</v>
      </c>
      <c r="I165">
        <v>12</v>
      </c>
      <c r="J165">
        <v>165</v>
      </c>
      <c r="K165">
        <v>1980</v>
      </c>
      <c r="L165" t="str">
        <f>IF(tblVendas[[#This Row],[regiao]]="", "Não informado", tblVendas[[#This Row],[regiao]])</f>
        <v>Centro-Oeste</v>
      </c>
      <c r="M165" t="str">
        <f>IF(tblVendas[[#This Row],[categoria]]="", "Outros", tblVendas[[#This Row],[categoria]])</f>
        <v>Acessórios</v>
      </c>
      <c r="N165">
        <f>IF(tblVendas[[#This Row],[valor_total]]&lt;0, MEDIAN(tblVendas[valor_total]), tblVendas[[#This Row],[valor_total]])</f>
        <v>1980</v>
      </c>
    </row>
    <row r="166" spans="1:14" x14ac:dyDescent="0.25">
      <c r="A166" s="1">
        <v>45319</v>
      </c>
      <c r="B166">
        <v>2024</v>
      </c>
      <c r="C166">
        <v>1</v>
      </c>
      <c r="D166">
        <v>1</v>
      </c>
      <c r="E166" t="s">
        <v>11</v>
      </c>
      <c r="F166" t="s">
        <v>23</v>
      </c>
      <c r="G166" t="s">
        <v>28</v>
      </c>
      <c r="H166" t="s">
        <v>14</v>
      </c>
      <c r="I166">
        <v>4</v>
      </c>
      <c r="J166">
        <v>191</v>
      </c>
      <c r="K166">
        <v>764</v>
      </c>
      <c r="L166" t="str">
        <f>IF(tblVendas[[#This Row],[regiao]]="", "Não informado", tblVendas[[#This Row],[regiao]])</f>
        <v>Norte</v>
      </c>
      <c r="M166" t="str">
        <f>IF(tblVendas[[#This Row],[categoria]]="", "Outros", tblVendas[[#This Row],[categoria]])</f>
        <v>Acessórios</v>
      </c>
      <c r="N166">
        <f>IF(tblVendas[[#This Row],[valor_total]]&lt;0, MEDIAN(tblVendas[valor_total]), tblVendas[[#This Row],[valor_total]])</f>
        <v>764</v>
      </c>
    </row>
    <row r="167" spans="1:14" x14ac:dyDescent="0.25">
      <c r="A167" s="1">
        <v>45399</v>
      </c>
      <c r="B167">
        <v>2024</v>
      </c>
      <c r="C167">
        <v>4</v>
      </c>
      <c r="D167">
        <v>2</v>
      </c>
      <c r="E167" t="s">
        <v>32</v>
      </c>
      <c r="F167" t="s">
        <v>12</v>
      </c>
      <c r="G167" t="s">
        <v>20</v>
      </c>
      <c r="H167" t="s">
        <v>14</v>
      </c>
      <c r="I167">
        <v>12</v>
      </c>
      <c r="J167">
        <v>145</v>
      </c>
      <c r="K167">
        <v>1740</v>
      </c>
      <c r="L167" t="str">
        <f>IF(tblVendas[[#This Row],[regiao]]="", "Não informado", tblVendas[[#This Row],[regiao]])</f>
        <v>Norte</v>
      </c>
      <c r="M167" t="str">
        <f>IF(tblVendas[[#This Row],[categoria]]="", "Outros", tblVendas[[#This Row],[categoria]])</f>
        <v>Calçados</v>
      </c>
      <c r="N167">
        <f>IF(tblVendas[[#This Row],[valor_total]]&lt;0, MEDIAN(tblVendas[valor_total]), tblVendas[[#This Row],[valor_total]])</f>
        <v>1740</v>
      </c>
    </row>
    <row r="168" spans="1:14" x14ac:dyDescent="0.25">
      <c r="A168" s="1">
        <v>45335</v>
      </c>
      <c r="B168">
        <v>2024</v>
      </c>
      <c r="C168">
        <v>2</v>
      </c>
      <c r="D168">
        <v>1</v>
      </c>
      <c r="E168" t="s">
        <v>31</v>
      </c>
      <c r="F168" t="s">
        <v>12</v>
      </c>
      <c r="G168" t="s">
        <v>28</v>
      </c>
      <c r="H168" t="s">
        <v>26</v>
      </c>
      <c r="I168">
        <v>10</v>
      </c>
      <c r="J168">
        <v>94</v>
      </c>
      <c r="K168">
        <v>940</v>
      </c>
      <c r="L168" t="str">
        <f>IF(tblVendas[[#This Row],[regiao]]="", "Não informado", tblVendas[[#This Row],[regiao]])</f>
        <v>Sul</v>
      </c>
      <c r="M168" t="str">
        <f>IF(tblVendas[[#This Row],[categoria]]="", "Outros", tblVendas[[#This Row],[categoria]])</f>
        <v>Calçados</v>
      </c>
      <c r="N168">
        <f>IF(tblVendas[[#This Row],[valor_total]]&lt;0, MEDIAN(tblVendas[valor_total]), tblVendas[[#This Row],[valor_total]])</f>
        <v>940</v>
      </c>
    </row>
    <row r="169" spans="1:14" x14ac:dyDescent="0.25">
      <c r="A169" s="1">
        <v>45631</v>
      </c>
      <c r="B169">
        <v>2024</v>
      </c>
      <c r="C169">
        <v>12</v>
      </c>
      <c r="D169">
        <v>4</v>
      </c>
      <c r="E169" t="s">
        <v>25</v>
      </c>
      <c r="F169" t="s">
        <v>19</v>
      </c>
      <c r="G169" t="s">
        <v>20</v>
      </c>
      <c r="H169" t="s">
        <v>17</v>
      </c>
      <c r="I169">
        <v>7</v>
      </c>
      <c r="J169">
        <v>60</v>
      </c>
      <c r="K169">
        <v>420</v>
      </c>
      <c r="L169" t="str">
        <f>IF(tblVendas[[#This Row],[regiao]]="", "Não informado", tblVendas[[#This Row],[regiao]])</f>
        <v>Leste</v>
      </c>
      <c r="M169" t="str">
        <f>IF(tblVendas[[#This Row],[categoria]]="", "Outros", tblVendas[[#This Row],[categoria]])</f>
        <v>Vestuário</v>
      </c>
      <c r="N169">
        <f>IF(tblVendas[[#This Row],[valor_total]]&lt;0, MEDIAN(tblVendas[valor_total]), tblVendas[[#This Row],[valor_total]])</f>
        <v>420</v>
      </c>
    </row>
    <row r="170" spans="1:14" x14ac:dyDescent="0.25">
      <c r="A170" s="1">
        <v>45577</v>
      </c>
      <c r="B170">
        <v>2024</v>
      </c>
      <c r="C170">
        <v>10</v>
      </c>
      <c r="D170">
        <v>4</v>
      </c>
      <c r="E170" t="s">
        <v>33</v>
      </c>
      <c r="F170" t="s">
        <v>19</v>
      </c>
      <c r="G170" t="s">
        <v>13</v>
      </c>
      <c r="H170" t="s">
        <v>21</v>
      </c>
      <c r="I170">
        <v>3</v>
      </c>
      <c r="J170">
        <v>161</v>
      </c>
      <c r="K170">
        <v>483</v>
      </c>
      <c r="L170" t="str">
        <f>IF(tblVendas[[#This Row],[regiao]]="", "Não informado", tblVendas[[#This Row],[regiao]])</f>
        <v>Centro-Oeste</v>
      </c>
      <c r="M170" t="str">
        <f>IF(tblVendas[[#This Row],[categoria]]="", "Outros", tblVendas[[#This Row],[categoria]])</f>
        <v>Vestuário</v>
      </c>
      <c r="N170">
        <f>IF(tblVendas[[#This Row],[valor_total]]&lt;0, MEDIAN(tblVendas[valor_total]), tblVendas[[#This Row],[valor_total]])</f>
        <v>483</v>
      </c>
    </row>
    <row r="171" spans="1:14" x14ac:dyDescent="0.25">
      <c r="A171" s="1">
        <v>45622</v>
      </c>
      <c r="B171">
        <v>2024</v>
      </c>
      <c r="C171">
        <v>11</v>
      </c>
      <c r="D171">
        <v>4</v>
      </c>
      <c r="E171" t="s">
        <v>25</v>
      </c>
      <c r="F171" t="s">
        <v>19</v>
      </c>
      <c r="G171" t="s">
        <v>20</v>
      </c>
      <c r="H171" t="s">
        <v>26</v>
      </c>
      <c r="I171">
        <v>14</v>
      </c>
      <c r="J171">
        <v>142</v>
      </c>
      <c r="K171">
        <v>1988</v>
      </c>
      <c r="L171" t="str">
        <f>IF(tblVendas[[#This Row],[regiao]]="", "Não informado", tblVendas[[#This Row],[regiao]])</f>
        <v>Sul</v>
      </c>
      <c r="M171" t="str">
        <f>IF(tblVendas[[#This Row],[categoria]]="", "Outros", tblVendas[[#This Row],[categoria]])</f>
        <v>Vestuário</v>
      </c>
      <c r="N171">
        <f>IF(tblVendas[[#This Row],[valor_total]]&lt;0, MEDIAN(tblVendas[valor_total]), tblVendas[[#This Row],[valor_total]])</f>
        <v>1988</v>
      </c>
    </row>
    <row r="172" spans="1:14" x14ac:dyDescent="0.25">
      <c r="A172" s="1">
        <v>45419</v>
      </c>
      <c r="B172">
        <v>2024</v>
      </c>
      <c r="C172">
        <v>5</v>
      </c>
      <c r="D172">
        <v>2</v>
      </c>
      <c r="E172" t="s">
        <v>30</v>
      </c>
      <c r="F172" t="s">
        <v>19</v>
      </c>
      <c r="G172" t="s">
        <v>20</v>
      </c>
      <c r="H172" t="s">
        <v>17</v>
      </c>
      <c r="I172">
        <v>10</v>
      </c>
      <c r="J172">
        <v>138</v>
      </c>
      <c r="K172">
        <v>1380</v>
      </c>
      <c r="L172" t="str">
        <f>IF(tblVendas[[#This Row],[regiao]]="", "Não informado", tblVendas[[#This Row],[regiao]])</f>
        <v>Leste</v>
      </c>
      <c r="M172" t="str">
        <f>IF(tblVendas[[#This Row],[categoria]]="", "Outros", tblVendas[[#This Row],[categoria]])</f>
        <v>Vestuário</v>
      </c>
      <c r="N172">
        <f>IF(tblVendas[[#This Row],[valor_total]]&lt;0, MEDIAN(tblVendas[valor_total]), tblVendas[[#This Row],[valor_total]])</f>
        <v>1380</v>
      </c>
    </row>
    <row r="173" spans="1:14" x14ac:dyDescent="0.25">
      <c r="A173" s="1">
        <v>45639</v>
      </c>
      <c r="B173">
        <v>2024</v>
      </c>
      <c r="C173">
        <v>12</v>
      </c>
      <c r="D173">
        <v>4</v>
      </c>
      <c r="E173" t="s">
        <v>25</v>
      </c>
      <c r="F173" t="s">
        <v>12</v>
      </c>
      <c r="G173" t="s">
        <v>16</v>
      </c>
      <c r="H173" t="s">
        <v>26</v>
      </c>
      <c r="I173">
        <v>16</v>
      </c>
      <c r="J173">
        <v>98</v>
      </c>
      <c r="K173">
        <v>1568</v>
      </c>
      <c r="L173" t="str">
        <f>IF(tblVendas[[#This Row],[regiao]]="", "Não informado", tblVendas[[#This Row],[regiao]])</f>
        <v>Sul</v>
      </c>
      <c r="M173" t="str">
        <f>IF(tblVendas[[#This Row],[categoria]]="", "Outros", tblVendas[[#This Row],[categoria]])</f>
        <v>Calçados</v>
      </c>
      <c r="N173">
        <f>IF(tblVendas[[#This Row],[valor_total]]&lt;0, MEDIAN(tblVendas[valor_total]), tblVendas[[#This Row],[valor_total]])</f>
        <v>1568</v>
      </c>
    </row>
    <row r="174" spans="1:14" x14ac:dyDescent="0.25">
      <c r="A174" s="1">
        <v>45522</v>
      </c>
      <c r="B174">
        <v>2024</v>
      </c>
      <c r="C174">
        <v>8</v>
      </c>
      <c r="D174">
        <v>3</v>
      </c>
      <c r="E174" t="s">
        <v>31</v>
      </c>
      <c r="F174" t="s">
        <v>23</v>
      </c>
      <c r="G174" t="s">
        <v>24</v>
      </c>
      <c r="H174" t="s">
        <v>21</v>
      </c>
      <c r="I174">
        <v>16</v>
      </c>
      <c r="J174">
        <v>187</v>
      </c>
      <c r="K174">
        <v>2992</v>
      </c>
      <c r="L174" t="str">
        <f>IF(tblVendas[[#This Row],[regiao]]="", "Não informado", tblVendas[[#This Row],[regiao]])</f>
        <v>Centro-Oeste</v>
      </c>
      <c r="M174" t="str">
        <f>IF(tblVendas[[#This Row],[categoria]]="", "Outros", tblVendas[[#This Row],[categoria]])</f>
        <v>Acessórios</v>
      </c>
      <c r="N174">
        <f>IF(tblVendas[[#This Row],[valor_total]]&lt;0, MEDIAN(tblVendas[valor_total]), tblVendas[[#This Row],[valor_total]])</f>
        <v>2992</v>
      </c>
    </row>
    <row r="175" spans="1:14" x14ac:dyDescent="0.25">
      <c r="A175" s="1">
        <v>45481</v>
      </c>
      <c r="B175">
        <v>2024</v>
      </c>
      <c r="C175">
        <v>7</v>
      </c>
      <c r="D175">
        <v>3</v>
      </c>
      <c r="E175" t="s">
        <v>22</v>
      </c>
      <c r="F175" t="s">
        <v>12</v>
      </c>
      <c r="G175" t="s">
        <v>24</v>
      </c>
      <c r="H175" t="s">
        <v>14</v>
      </c>
      <c r="I175">
        <v>10</v>
      </c>
      <c r="J175">
        <v>149</v>
      </c>
      <c r="K175">
        <v>1490</v>
      </c>
      <c r="L175" t="str">
        <f>IF(tblVendas[[#This Row],[regiao]]="", "Não informado", tblVendas[[#This Row],[regiao]])</f>
        <v>Norte</v>
      </c>
      <c r="M175" t="str">
        <f>IF(tblVendas[[#This Row],[categoria]]="", "Outros", tblVendas[[#This Row],[categoria]])</f>
        <v>Calçados</v>
      </c>
      <c r="N175">
        <f>IF(tblVendas[[#This Row],[valor_total]]&lt;0, MEDIAN(tblVendas[valor_total]), tblVendas[[#This Row],[valor_total]])</f>
        <v>1490</v>
      </c>
    </row>
    <row r="176" spans="1:14" x14ac:dyDescent="0.25">
      <c r="A176" s="1">
        <v>45516</v>
      </c>
      <c r="B176">
        <v>2024</v>
      </c>
      <c r="C176">
        <v>8</v>
      </c>
      <c r="D176">
        <v>3</v>
      </c>
      <c r="E176" t="s">
        <v>31</v>
      </c>
      <c r="F176" t="s">
        <v>19</v>
      </c>
      <c r="G176" t="s">
        <v>13</v>
      </c>
      <c r="H176" t="s">
        <v>14</v>
      </c>
      <c r="I176">
        <v>13</v>
      </c>
      <c r="J176">
        <v>117</v>
      </c>
      <c r="K176">
        <v>1521</v>
      </c>
      <c r="L176" t="str">
        <f>IF(tblVendas[[#This Row],[regiao]]="", "Não informado", tblVendas[[#This Row],[regiao]])</f>
        <v>Norte</v>
      </c>
      <c r="M176" t="str">
        <f>IF(tblVendas[[#This Row],[categoria]]="", "Outros", tblVendas[[#This Row],[categoria]])</f>
        <v>Vestuário</v>
      </c>
      <c r="N176">
        <f>IF(tblVendas[[#This Row],[valor_total]]&lt;0, MEDIAN(tblVendas[valor_total]), tblVendas[[#This Row],[valor_total]])</f>
        <v>1521</v>
      </c>
    </row>
    <row r="177" spans="1:14" x14ac:dyDescent="0.25">
      <c r="A177" s="1">
        <v>45574</v>
      </c>
      <c r="B177">
        <v>2024</v>
      </c>
      <c r="C177">
        <v>10</v>
      </c>
      <c r="D177">
        <v>4</v>
      </c>
      <c r="E177" t="s">
        <v>25</v>
      </c>
      <c r="F177" t="s">
        <v>12</v>
      </c>
      <c r="G177" t="s">
        <v>13</v>
      </c>
      <c r="H177" t="s">
        <v>17</v>
      </c>
      <c r="I177">
        <v>6</v>
      </c>
      <c r="J177">
        <v>96</v>
      </c>
      <c r="K177">
        <v>576</v>
      </c>
      <c r="L177" t="str">
        <f>IF(tblVendas[[#This Row],[regiao]]="", "Não informado", tblVendas[[#This Row],[regiao]])</f>
        <v>Leste</v>
      </c>
      <c r="M177" t="str">
        <f>IF(tblVendas[[#This Row],[categoria]]="", "Outros", tblVendas[[#This Row],[categoria]])</f>
        <v>Calçados</v>
      </c>
      <c r="N177">
        <f>IF(tblVendas[[#This Row],[valor_total]]&lt;0, MEDIAN(tblVendas[valor_total]), tblVendas[[#This Row],[valor_total]])</f>
        <v>576</v>
      </c>
    </row>
    <row r="178" spans="1:14" x14ac:dyDescent="0.25">
      <c r="A178" s="1">
        <v>45412</v>
      </c>
      <c r="B178">
        <v>2024</v>
      </c>
      <c r="C178">
        <v>4</v>
      </c>
      <c r="D178">
        <v>2</v>
      </c>
      <c r="E178" t="s">
        <v>31</v>
      </c>
      <c r="F178" t="s">
        <v>23</v>
      </c>
      <c r="G178" t="s">
        <v>24</v>
      </c>
      <c r="H178" t="s">
        <v>29</v>
      </c>
      <c r="I178">
        <v>12</v>
      </c>
      <c r="J178">
        <v>104</v>
      </c>
      <c r="K178">
        <v>1248</v>
      </c>
      <c r="L178" t="str">
        <f>IF(tblVendas[[#This Row],[regiao]]="", "Não informado", tblVendas[[#This Row],[regiao]])</f>
        <v>Oeste</v>
      </c>
      <c r="M178" t="str">
        <f>IF(tblVendas[[#This Row],[categoria]]="", "Outros", tblVendas[[#This Row],[categoria]])</f>
        <v>Acessórios</v>
      </c>
      <c r="N178">
        <f>IF(tblVendas[[#This Row],[valor_total]]&lt;0, MEDIAN(tblVendas[valor_total]), tblVendas[[#This Row],[valor_total]])</f>
        <v>1248</v>
      </c>
    </row>
    <row r="179" spans="1:14" x14ac:dyDescent="0.25">
      <c r="A179" s="1">
        <v>45407</v>
      </c>
      <c r="B179">
        <v>2024</v>
      </c>
      <c r="C179">
        <v>4</v>
      </c>
      <c r="D179">
        <v>2</v>
      </c>
      <c r="E179" t="s">
        <v>15</v>
      </c>
      <c r="F179" t="s">
        <v>23</v>
      </c>
      <c r="G179" t="s">
        <v>16</v>
      </c>
      <c r="H179" t="s">
        <v>17</v>
      </c>
      <c r="I179">
        <v>9</v>
      </c>
      <c r="J179">
        <v>74</v>
      </c>
      <c r="K179">
        <v>666</v>
      </c>
      <c r="L179" t="str">
        <f>IF(tblVendas[[#This Row],[regiao]]="", "Não informado", tblVendas[[#This Row],[regiao]])</f>
        <v>Leste</v>
      </c>
      <c r="M179" t="str">
        <f>IF(tblVendas[[#This Row],[categoria]]="", "Outros", tblVendas[[#This Row],[categoria]])</f>
        <v>Acessórios</v>
      </c>
      <c r="N179">
        <f>IF(tblVendas[[#This Row],[valor_total]]&lt;0, MEDIAN(tblVendas[valor_total]), tblVendas[[#This Row],[valor_total]])</f>
        <v>666</v>
      </c>
    </row>
    <row r="180" spans="1:14" x14ac:dyDescent="0.25">
      <c r="A180" s="1">
        <v>45524</v>
      </c>
      <c r="B180">
        <v>2024</v>
      </c>
      <c r="C180">
        <v>8</v>
      </c>
      <c r="D180">
        <v>3</v>
      </c>
      <c r="E180" t="s">
        <v>30</v>
      </c>
      <c r="F180" t="s">
        <v>12</v>
      </c>
      <c r="G180" t="s">
        <v>24</v>
      </c>
      <c r="H180" t="s">
        <v>29</v>
      </c>
      <c r="I180">
        <v>13</v>
      </c>
      <c r="J180">
        <v>33</v>
      </c>
      <c r="K180">
        <v>429</v>
      </c>
      <c r="L180" t="str">
        <f>IF(tblVendas[[#This Row],[regiao]]="", "Não informado", tblVendas[[#This Row],[regiao]])</f>
        <v>Oeste</v>
      </c>
      <c r="M180" t="str">
        <f>IF(tblVendas[[#This Row],[categoria]]="", "Outros", tblVendas[[#This Row],[categoria]])</f>
        <v>Calçados</v>
      </c>
      <c r="N180">
        <f>IF(tblVendas[[#This Row],[valor_total]]&lt;0, MEDIAN(tblVendas[valor_total]), tblVendas[[#This Row],[valor_total]])</f>
        <v>429</v>
      </c>
    </row>
    <row r="181" spans="1:14" x14ac:dyDescent="0.25">
      <c r="A181" s="1">
        <v>45550</v>
      </c>
      <c r="B181">
        <v>2024</v>
      </c>
      <c r="C181">
        <v>9</v>
      </c>
      <c r="D181">
        <v>3</v>
      </c>
      <c r="E181" t="s">
        <v>32</v>
      </c>
      <c r="F181" t="s">
        <v>12</v>
      </c>
      <c r="G181" t="s">
        <v>16</v>
      </c>
      <c r="H181" t="s">
        <v>26</v>
      </c>
      <c r="I181">
        <v>4</v>
      </c>
      <c r="J181">
        <v>183</v>
      </c>
      <c r="K181">
        <v>732</v>
      </c>
      <c r="L181" t="str">
        <f>IF(tblVendas[[#This Row],[regiao]]="", "Não informado", tblVendas[[#This Row],[regiao]])</f>
        <v>Sul</v>
      </c>
      <c r="M181" t="str">
        <f>IF(tblVendas[[#This Row],[categoria]]="", "Outros", tblVendas[[#This Row],[categoria]])</f>
        <v>Calçados</v>
      </c>
      <c r="N181">
        <f>IF(tblVendas[[#This Row],[valor_total]]&lt;0, MEDIAN(tblVendas[valor_total]), tblVendas[[#This Row],[valor_total]])</f>
        <v>732</v>
      </c>
    </row>
    <row r="182" spans="1:14" x14ac:dyDescent="0.25">
      <c r="A182" s="1">
        <v>45650</v>
      </c>
      <c r="B182">
        <v>2024</v>
      </c>
      <c r="C182">
        <v>12</v>
      </c>
      <c r="D182">
        <v>4</v>
      </c>
      <c r="E182" t="s">
        <v>22</v>
      </c>
      <c r="F182" t="s">
        <v>12</v>
      </c>
      <c r="G182" t="s">
        <v>13</v>
      </c>
      <c r="H182" t="s">
        <v>26</v>
      </c>
      <c r="I182">
        <v>11</v>
      </c>
      <c r="J182">
        <v>184</v>
      </c>
      <c r="K182">
        <v>2024</v>
      </c>
      <c r="L182" t="str">
        <f>IF(tblVendas[[#This Row],[regiao]]="", "Não informado", tblVendas[[#This Row],[regiao]])</f>
        <v>Sul</v>
      </c>
      <c r="M182" t="str">
        <f>IF(tblVendas[[#This Row],[categoria]]="", "Outros", tblVendas[[#This Row],[categoria]])</f>
        <v>Calçados</v>
      </c>
      <c r="N182">
        <f>IF(tblVendas[[#This Row],[valor_total]]&lt;0, MEDIAN(tblVendas[valor_total]), tblVendas[[#This Row],[valor_total]])</f>
        <v>2024</v>
      </c>
    </row>
    <row r="183" spans="1:14" x14ac:dyDescent="0.25">
      <c r="A183" s="1">
        <v>45489</v>
      </c>
      <c r="B183">
        <v>2024</v>
      </c>
      <c r="C183">
        <v>7</v>
      </c>
      <c r="D183">
        <v>3</v>
      </c>
      <c r="E183" t="s">
        <v>33</v>
      </c>
      <c r="F183" t="s">
        <v>19</v>
      </c>
      <c r="G183" t="s">
        <v>28</v>
      </c>
      <c r="H183" t="s">
        <v>21</v>
      </c>
      <c r="I183">
        <v>18</v>
      </c>
      <c r="J183">
        <v>136</v>
      </c>
      <c r="K183">
        <v>2448</v>
      </c>
      <c r="L183" t="str">
        <f>IF(tblVendas[[#This Row],[regiao]]="", "Não informado", tblVendas[[#This Row],[regiao]])</f>
        <v>Centro-Oeste</v>
      </c>
      <c r="M183" t="str">
        <f>IF(tblVendas[[#This Row],[categoria]]="", "Outros", tblVendas[[#This Row],[categoria]])</f>
        <v>Vestuário</v>
      </c>
      <c r="N183">
        <f>IF(tblVendas[[#This Row],[valor_total]]&lt;0, MEDIAN(tblVendas[valor_total]), tblVendas[[#This Row],[valor_total]])</f>
        <v>2448</v>
      </c>
    </row>
    <row r="184" spans="1:14" x14ac:dyDescent="0.25">
      <c r="A184" s="1">
        <v>45428</v>
      </c>
      <c r="B184">
        <v>2024</v>
      </c>
      <c r="C184">
        <v>5</v>
      </c>
      <c r="D184">
        <v>2</v>
      </c>
      <c r="E184" t="s">
        <v>18</v>
      </c>
      <c r="F184" t="s">
        <v>12</v>
      </c>
      <c r="G184" t="s">
        <v>13</v>
      </c>
      <c r="H184" t="s">
        <v>29</v>
      </c>
      <c r="I184">
        <v>11</v>
      </c>
      <c r="J184">
        <v>80</v>
      </c>
      <c r="K184">
        <v>880</v>
      </c>
      <c r="L184" t="str">
        <f>IF(tblVendas[[#This Row],[regiao]]="", "Não informado", tblVendas[[#This Row],[regiao]])</f>
        <v>Oeste</v>
      </c>
      <c r="M184" t="str">
        <f>IF(tblVendas[[#This Row],[categoria]]="", "Outros", tblVendas[[#This Row],[categoria]])</f>
        <v>Calçados</v>
      </c>
      <c r="N184">
        <f>IF(tblVendas[[#This Row],[valor_total]]&lt;0, MEDIAN(tblVendas[valor_total]), tblVendas[[#This Row],[valor_total]])</f>
        <v>880</v>
      </c>
    </row>
    <row r="185" spans="1:14" x14ac:dyDescent="0.25">
      <c r="A185" s="1">
        <v>45609</v>
      </c>
      <c r="B185">
        <v>2024</v>
      </c>
      <c r="C185">
        <v>11</v>
      </c>
      <c r="D185">
        <v>4</v>
      </c>
      <c r="E185" t="s">
        <v>32</v>
      </c>
      <c r="F185" t="s">
        <v>12</v>
      </c>
      <c r="G185" t="s">
        <v>13</v>
      </c>
      <c r="H185" t="s">
        <v>21</v>
      </c>
      <c r="I185">
        <v>4</v>
      </c>
      <c r="J185">
        <v>79</v>
      </c>
      <c r="K185">
        <v>316</v>
      </c>
      <c r="L185" t="str">
        <f>IF(tblVendas[[#This Row],[regiao]]="", "Não informado", tblVendas[[#This Row],[regiao]])</f>
        <v>Centro-Oeste</v>
      </c>
      <c r="M185" t="str">
        <f>IF(tblVendas[[#This Row],[categoria]]="", "Outros", tblVendas[[#This Row],[categoria]])</f>
        <v>Calçados</v>
      </c>
      <c r="N185">
        <f>IF(tblVendas[[#This Row],[valor_total]]&lt;0, MEDIAN(tblVendas[valor_total]), tblVendas[[#This Row],[valor_total]])</f>
        <v>316</v>
      </c>
    </row>
    <row r="186" spans="1:14" x14ac:dyDescent="0.25">
      <c r="A186" s="1">
        <v>45456</v>
      </c>
      <c r="B186">
        <v>2024</v>
      </c>
      <c r="C186">
        <v>6</v>
      </c>
      <c r="D186">
        <v>2</v>
      </c>
      <c r="E186" t="s">
        <v>18</v>
      </c>
      <c r="F186" t="s">
        <v>12</v>
      </c>
      <c r="G186" t="s">
        <v>20</v>
      </c>
      <c r="H186" t="s">
        <v>14</v>
      </c>
      <c r="I186">
        <v>18</v>
      </c>
      <c r="J186">
        <v>35</v>
      </c>
      <c r="K186">
        <v>630</v>
      </c>
      <c r="L186" t="str">
        <f>IF(tblVendas[[#This Row],[regiao]]="", "Não informado", tblVendas[[#This Row],[regiao]])</f>
        <v>Norte</v>
      </c>
      <c r="M186" t="str">
        <f>IF(tblVendas[[#This Row],[categoria]]="", "Outros", tblVendas[[#This Row],[categoria]])</f>
        <v>Calçados</v>
      </c>
      <c r="N186">
        <f>IF(tblVendas[[#This Row],[valor_total]]&lt;0, MEDIAN(tblVendas[valor_total]), tblVendas[[#This Row],[valor_total]])</f>
        <v>630</v>
      </c>
    </row>
    <row r="187" spans="1:14" x14ac:dyDescent="0.25">
      <c r="A187" s="1">
        <v>45516</v>
      </c>
      <c r="B187">
        <v>2024</v>
      </c>
      <c r="C187">
        <v>8</v>
      </c>
      <c r="D187">
        <v>3</v>
      </c>
      <c r="E187" t="s">
        <v>30</v>
      </c>
      <c r="F187" t="s">
        <v>23</v>
      </c>
      <c r="G187" t="s">
        <v>20</v>
      </c>
      <c r="H187" t="s">
        <v>29</v>
      </c>
      <c r="I187">
        <v>1</v>
      </c>
      <c r="J187">
        <v>88</v>
      </c>
      <c r="K187">
        <v>88</v>
      </c>
      <c r="L187" t="str">
        <f>IF(tblVendas[[#This Row],[regiao]]="", "Não informado", tblVendas[[#This Row],[regiao]])</f>
        <v>Oeste</v>
      </c>
      <c r="M187" t="str">
        <f>IF(tblVendas[[#This Row],[categoria]]="", "Outros", tblVendas[[#This Row],[categoria]])</f>
        <v>Acessórios</v>
      </c>
      <c r="N187">
        <f>IF(tblVendas[[#This Row],[valor_total]]&lt;0, MEDIAN(tblVendas[valor_total]), tblVendas[[#This Row],[valor_total]])</f>
        <v>88</v>
      </c>
    </row>
    <row r="188" spans="1:14" x14ac:dyDescent="0.25">
      <c r="A188" s="1">
        <v>45598</v>
      </c>
      <c r="B188">
        <v>2024</v>
      </c>
      <c r="C188">
        <v>11</v>
      </c>
      <c r="D188">
        <v>4</v>
      </c>
      <c r="E188" t="s">
        <v>22</v>
      </c>
      <c r="F188" t="s">
        <v>23</v>
      </c>
      <c r="G188" t="s">
        <v>20</v>
      </c>
      <c r="H188" t="s">
        <v>17</v>
      </c>
      <c r="I188">
        <v>7</v>
      </c>
      <c r="J188">
        <v>154</v>
      </c>
      <c r="K188">
        <v>1078</v>
      </c>
      <c r="L188" t="str">
        <f>IF(tblVendas[[#This Row],[regiao]]="", "Não informado", tblVendas[[#This Row],[regiao]])</f>
        <v>Leste</v>
      </c>
      <c r="M188" t="str">
        <f>IF(tblVendas[[#This Row],[categoria]]="", "Outros", tblVendas[[#This Row],[categoria]])</f>
        <v>Acessórios</v>
      </c>
      <c r="N188">
        <f>IF(tblVendas[[#This Row],[valor_total]]&lt;0, MEDIAN(tblVendas[valor_total]), tblVendas[[#This Row],[valor_total]])</f>
        <v>1078</v>
      </c>
    </row>
    <row r="189" spans="1:14" x14ac:dyDescent="0.25">
      <c r="A189" s="1">
        <v>45525</v>
      </c>
      <c r="B189">
        <v>2024</v>
      </c>
      <c r="C189">
        <v>8</v>
      </c>
      <c r="D189">
        <v>3</v>
      </c>
      <c r="E189" t="s">
        <v>27</v>
      </c>
      <c r="F189" t="s">
        <v>19</v>
      </c>
      <c r="G189" t="s">
        <v>20</v>
      </c>
      <c r="H189" t="s">
        <v>14</v>
      </c>
      <c r="I189">
        <v>6</v>
      </c>
      <c r="J189">
        <v>172</v>
      </c>
      <c r="K189">
        <v>1032</v>
      </c>
      <c r="L189" t="str">
        <f>IF(tblVendas[[#This Row],[regiao]]="", "Não informado", tblVendas[[#This Row],[regiao]])</f>
        <v>Norte</v>
      </c>
      <c r="M189" t="str">
        <f>IF(tblVendas[[#This Row],[categoria]]="", "Outros", tblVendas[[#This Row],[categoria]])</f>
        <v>Vestuário</v>
      </c>
      <c r="N189">
        <f>IF(tblVendas[[#This Row],[valor_total]]&lt;0, MEDIAN(tblVendas[valor_total]), tblVendas[[#This Row],[valor_total]])</f>
        <v>1032</v>
      </c>
    </row>
    <row r="190" spans="1:14" x14ac:dyDescent="0.25">
      <c r="A190" s="1">
        <v>45463</v>
      </c>
      <c r="B190">
        <v>2024</v>
      </c>
      <c r="C190">
        <v>6</v>
      </c>
      <c r="D190">
        <v>2</v>
      </c>
      <c r="E190" t="s">
        <v>33</v>
      </c>
      <c r="F190" t="s">
        <v>19</v>
      </c>
      <c r="G190" t="s">
        <v>16</v>
      </c>
      <c r="H190" t="s">
        <v>14</v>
      </c>
      <c r="I190">
        <v>15</v>
      </c>
      <c r="J190">
        <v>59</v>
      </c>
      <c r="K190">
        <v>885</v>
      </c>
      <c r="L190" t="str">
        <f>IF(tblVendas[[#This Row],[regiao]]="", "Não informado", tblVendas[[#This Row],[regiao]])</f>
        <v>Norte</v>
      </c>
      <c r="M190" t="str">
        <f>IF(tblVendas[[#This Row],[categoria]]="", "Outros", tblVendas[[#This Row],[categoria]])</f>
        <v>Vestuário</v>
      </c>
      <c r="N190">
        <f>IF(tblVendas[[#This Row],[valor_total]]&lt;0, MEDIAN(tblVendas[valor_total]), tblVendas[[#This Row],[valor_total]])</f>
        <v>885</v>
      </c>
    </row>
    <row r="191" spans="1:14" x14ac:dyDescent="0.25">
      <c r="A191" s="1">
        <v>45443</v>
      </c>
      <c r="B191">
        <v>2024</v>
      </c>
      <c r="C191">
        <v>5</v>
      </c>
      <c r="D191">
        <v>2</v>
      </c>
      <c r="E191" t="s">
        <v>15</v>
      </c>
      <c r="F191" t="s">
        <v>23</v>
      </c>
      <c r="G191" t="s">
        <v>24</v>
      </c>
      <c r="H191" t="s">
        <v>17</v>
      </c>
      <c r="I191">
        <v>18</v>
      </c>
      <c r="J191">
        <v>199</v>
      </c>
      <c r="K191">
        <v>3582</v>
      </c>
      <c r="L191" t="str">
        <f>IF(tblVendas[[#This Row],[regiao]]="", "Não informado", tblVendas[[#This Row],[regiao]])</f>
        <v>Leste</v>
      </c>
      <c r="M191" t="str">
        <f>IF(tblVendas[[#This Row],[categoria]]="", "Outros", tblVendas[[#This Row],[categoria]])</f>
        <v>Acessórios</v>
      </c>
      <c r="N191">
        <f>IF(tblVendas[[#This Row],[valor_total]]&lt;0, MEDIAN(tblVendas[valor_total]), tblVendas[[#This Row],[valor_total]])</f>
        <v>3582</v>
      </c>
    </row>
    <row r="192" spans="1:14" x14ac:dyDescent="0.25">
      <c r="A192" s="1">
        <v>45606</v>
      </c>
      <c r="B192">
        <v>2024</v>
      </c>
      <c r="C192">
        <v>11</v>
      </c>
      <c r="D192">
        <v>4</v>
      </c>
      <c r="E192" t="s">
        <v>27</v>
      </c>
      <c r="F192" t="s">
        <v>23</v>
      </c>
      <c r="G192" t="s">
        <v>28</v>
      </c>
      <c r="H192" t="s">
        <v>14</v>
      </c>
      <c r="I192">
        <v>11</v>
      </c>
      <c r="J192">
        <v>151</v>
      </c>
      <c r="K192">
        <v>1661</v>
      </c>
      <c r="L192" t="str">
        <f>IF(tblVendas[[#This Row],[regiao]]="", "Não informado", tblVendas[[#This Row],[regiao]])</f>
        <v>Norte</v>
      </c>
      <c r="M192" t="str">
        <f>IF(tblVendas[[#This Row],[categoria]]="", "Outros", tblVendas[[#This Row],[categoria]])</f>
        <v>Acessórios</v>
      </c>
      <c r="N192">
        <f>IF(tblVendas[[#This Row],[valor_total]]&lt;0, MEDIAN(tblVendas[valor_total]), tblVendas[[#This Row],[valor_total]])</f>
        <v>1661</v>
      </c>
    </row>
    <row r="193" spans="1:14" x14ac:dyDescent="0.25">
      <c r="A193" s="1">
        <v>45451</v>
      </c>
      <c r="B193">
        <v>2024</v>
      </c>
      <c r="C193">
        <v>6</v>
      </c>
      <c r="D193">
        <v>2</v>
      </c>
      <c r="E193" t="s">
        <v>30</v>
      </c>
      <c r="F193" t="s">
        <v>23</v>
      </c>
      <c r="G193" t="s">
        <v>13</v>
      </c>
      <c r="H193" t="s">
        <v>29</v>
      </c>
      <c r="I193">
        <v>15</v>
      </c>
      <c r="J193">
        <v>154</v>
      </c>
      <c r="K193">
        <v>2310</v>
      </c>
      <c r="L193" t="str">
        <f>IF(tblVendas[[#This Row],[regiao]]="", "Não informado", tblVendas[[#This Row],[regiao]])</f>
        <v>Oeste</v>
      </c>
      <c r="M193" t="str">
        <f>IF(tblVendas[[#This Row],[categoria]]="", "Outros", tblVendas[[#This Row],[categoria]])</f>
        <v>Acessórios</v>
      </c>
      <c r="N193">
        <f>IF(tblVendas[[#This Row],[valor_total]]&lt;0, MEDIAN(tblVendas[valor_total]), tblVendas[[#This Row],[valor_total]])</f>
        <v>2310</v>
      </c>
    </row>
    <row r="194" spans="1:14" x14ac:dyDescent="0.25">
      <c r="A194" s="1">
        <v>45387</v>
      </c>
      <c r="B194">
        <v>2024</v>
      </c>
      <c r="C194">
        <v>4</v>
      </c>
      <c r="D194">
        <v>2</v>
      </c>
      <c r="E194" t="s">
        <v>32</v>
      </c>
      <c r="F194" t="s">
        <v>12</v>
      </c>
      <c r="G194" t="s">
        <v>16</v>
      </c>
      <c r="H194" t="s">
        <v>21</v>
      </c>
      <c r="I194">
        <v>16</v>
      </c>
      <c r="J194">
        <v>66</v>
      </c>
      <c r="K194">
        <v>1056</v>
      </c>
      <c r="L194" t="str">
        <f>IF(tblVendas[[#This Row],[regiao]]="", "Não informado", tblVendas[[#This Row],[regiao]])</f>
        <v>Centro-Oeste</v>
      </c>
      <c r="M194" t="str">
        <f>IF(tblVendas[[#This Row],[categoria]]="", "Outros", tblVendas[[#This Row],[categoria]])</f>
        <v>Calçados</v>
      </c>
      <c r="N194">
        <f>IF(tblVendas[[#This Row],[valor_total]]&lt;0, MEDIAN(tblVendas[valor_total]), tblVendas[[#This Row],[valor_total]])</f>
        <v>1056</v>
      </c>
    </row>
    <row r="195" spans="1:14" x14ac:dyDescent="0.25">
      <c r="A195" s="1">
        <v>45524</v>
      </c>
      <c r="B195">
        <v>2024</v>
      </c>
      <c r="C195">
        <v>8</v>
      </c>
      <c r="D195">
        <v>3</v>
      </c>
      <c r="E195" t="s">
        <v>15</v>
      </c>
      <c r="F195" t="s">
        <v>12</v>
      </c>
      <c r="G195" t="s">
        <v>28</v>
      </c>
      <c r="H195" t="s">
        <v>14</v>
      </c>
      <c r="I195">
        <v>7</v>
      </c>
      <c r="J195">
        <v>199</v>
      </c>
      <c r="K195">
        <v>1393</v>
      </c>
      <c r="L195" t="str">
        <f>IF(tblVendas[[#This Row],[regiao]]="", "Não informado", tblVendas[[#This Row],[regiao]])</f>
        <v>Norte</v>
      </c>
      <c r="M195" t="str">
        <f>IF(tblVendas[[#This Row],[categoria]]="", "Outros", tblVendas[[#This Row],[categoria]])</f>
        <v>Calçados</v>
      </c>
      <c r="N195">
        <f>IF(tblVendas[[#This Row],[valor_total]]&lt;0, MEDIAN(tblVendas[valor_total]), tblVendas[[#This Row],[valor_total]])</f>
        <v>1393</v>
      </c>
    </row>
    <row r="196" spans="1:14" x14ac:dyDescent="0.25">
      <c r="A196" s="1">
        <v>45471</v>
      </c>
      <c r="B196">
        <v>2024</v>
      </c>
      <c r="C196">
        <v>6</v>
      </c>
      <c r="D196">
        <v>2</v>
      </c>
      <c r="E196" t="s">
        <v>31</v>
      </c>
      <c r="F196" t="s">
        <v>23</v>
      </c>
      <c r="G196" t="s">
        <v>16</v>
      </c>
      <c r="H196" t="s">
        <v>29</v>
      </c>
      <c r="I196">
        <v>10</v>
      </c>
      <c r="J196">
        <v>153</v>
      </c>
      <c r="K196">
        <v>1530</v>
      </c>
      <c r="L196" t="str">
        <f>IF(tblVendas[[#This Row],[regiao]]="", "Não informado", tblVendas[[#This Row],[regiao]])</f>
        <v>Oeste</v>
      </c>
      <c r="M196" t="str">
        <f>IF(tblVendas[[#This Row],[categoria]]="", "Outros", tblVendas[[#This Row],[categoria]])</f>
        <v>Acessórios</v>
      </c>
      <c r="N196">
        <f>IF(tblVendas[[#This Row],[valor_total]]&lt;0, MEDIAN(tblVendas[valor_total]), tblVendas[[#This Row],[valor_total]])</f>
        <v>1530</v>
      </c>
    </row>
    <row r="197" spans="1:14" x14ac:dyDescent="0.25">
      <c r="A197" s="1">
        <v>45404</v>
      </c>
      <c r="B197">
        <v>2024</v>
      </c>
      <c r="C197">
        <v>4</v>
      </c>
      <c r="D197">
        <v>2</v>
      </c>
      <c r="E197" t="s">
        <v>25</v>
      </c>
      <c r="F197" t="s">
        <v>12</v>
      </c>
      <c r="G197" t="s">
        <v>16</v>
      </c>
      <c r="H197" t="s">
        <v>26</v>
      </c>
      <c r="I197">
        <v>12</v>
      </c>
      <c r="J197">
        <v>130</v>
      </c>
      <c r="K197">
        <v>1560</v>
      </c>
      <c r="L197" t="str">
        <f>IF(tblVendas[[#This Row],[regiao]]="", "Não informado", tblVendas[[#This Row],[regiao]])</f>
        <v>Sul</v>
      </c>
      <c r="M197" t="str">
        <f>IF(tblVendas[[#This Row],[categoria]]="", "Outros", tblVendas[[#This Row],[categoria]])</f>
        <v>Calçados</v>
      </c>
      <c r="N197">
        <f>IF(tblVendas[[#This Row],[valor_total]]&lt;0, MEDIAN(tblVendas[valor_total]), tblVendas[[#This Row],[valor_total]])</f>
        <v>1560</v>
      </c>
    </row>
    <row r="198" spans="1:14" x14ac:dyDescent="0.25">
      <c r="A198" s="1">
        <v>45609</v>
      </c>
      <c r="B198">
        <v>2024</v>
      </c>
      <c r="C198">
        <v>11</v>
      </c>
      <c r="D198">
        <v>4</v>
      </c>
      <c r="E198" t="s">
        <v>15</v>
      </c>
      <c r="F198" t="s">
        <v>12</v>
      </c>
      <c r="G198" t="s">
        <v>13</v>
      </c>
      <c r="H198" t="s">
        <v>29</v>
      </c>
      <c r="I198">
        <v>14</v>
      </c>
      <c r="J198">
        <v>64</v>
      </c>
      <c r="K198">
        <v>896</v>
      </c>
      <c r="L198" t="str">
        <f>IF(tblVendas[[#This Row],[regiao]]="", "Não informado", tblVendas[[#This Row],[regiao]])</f>
        <v>Oeste</v>
      </c>
      <c r="M198" t="str">
        <f>IF(tblVendas[[#This Row],[categoria]]="", "Outros", tblVendas[[#This Row],[categoria]])</f>
        <v>Calçados</v>
      </c>
      <c r="N198">
        <f>IF(tblVendas[[#This Row],[valor_total]]&lt;0, MEDIAN(tblVendas[valor_total]), tblVendas[[#This Row],[valor_total]])</f>
        <v>896</v>
      </c>
    </row>
    <row r="199" spans="1:14" x14ac:dyDescent="0.25">
      <c r="A199" s="1">
        <v>45343</v>
      </c>
      <c r="B199">
        <v>2024</v>
      </c>
      <c r="C199">
        <v>2</v>
      </c>
      <c r="D199">
        <v>1</v>
      </c>
      <c r="E199" t="s">
        <v>30</v>
      </c>
      <c r="F199" t="s">
        <v>19</v>
      </c>
      <c r="G199" t="s">
        <v>24</v>
      </c>
      <c r="H199" t="s">
        <v>21</v>
      </c>
      <c r="I199">
        <v>5</v>
      </c>
      <c r="J199">
        <v>116</v>
      </c>
      <c r="K199">
        <v>580</v>
      </c>
      <c r="L199" t="str">
        <f>IF(tblVendas[[#This Row],[regiao]]="", "Não informado", tblVendas[[#This Row],[regiao]])</f>
        <v>Centro-Oeste</v>
      </c>
      <c r="M199" t="str">
        <f>IF(tblVendas[[#This Row],[categoria]]="", "Outros", tblVendas[[#This Row],[categoria]])</f>
        <v>Vestuário</v>
      </c>
      <c r="N199">
        <f>IF(tblVendas[[#This Row],[valor_total]]&lt;0, MEDIAN(tblVendas[valor_total]), tblVendas[[#This Row],[valor_total]])</f>
        <v>580</v>
      </c>
    </row>
    <row r="200" spans="1:14" x14ac:dyDescent="0.25">
      <c r="A200" s="1">
        <v>45559</v>
      </c>
      <c r="B200">
        <v>2024</v>
      </c>
      <c r="C200">
        <v>9</v>
      </c>
      <c r="D200">
        <v>3</v>
      </c>
      <c r="E200" t="s">
        <v>11</v>
      </c>
      <c r="F200" t="s">
        <v>23</v>
      </c>
      <c r="G200" t="s">
        <v>20</v>
      </c>
      <c r="H200" t="s">
        <v>29</v>
      </c>
      <c r="I200">
        <v>18</v>
      </c>
      <c r="J200">
        <v>163</v>
      </c>
      <c r="K200">
        <v>2934</v>
      </c>
      <c r="L200" t="str">
        <f>IF(tblVendas[[#This Row],[regiao]]="", "Não informado", tblVendas[[#This Row],[regiao]])</f>
        <v>Oeste</v>
      </c>
      <c r="M200" t="str">
        <f>IF(tblVendas[[#This Row],[categoria]]="", "Outros", tblVendas[[#This Row],[categoria]])</f>
        <v>Acessórios</v>
      </c>
      <c r="N200">
        <f>IF(tblVendas[[#This Row],[valor_total]]&lt;0, MEDIAN(tblVendas[valor_total]), tblVendas[[#This Row],[valor_total]])</f>
        <v>2934</v>
      </c>
    </row>
    <row r="201" spans="1:14" x14ac:dyDescent="0.25">
      <c r="A201" s="1">
        <v>45586</v>
      </c>
      <c r="B201">
        <v>2024</v>
      </c>
      <c r="C201">
        <v>10</v>
      </c>
      <c r="D201">
        <v>4</v>
      </c>
      <c r="E201" t="s">
        <v>25</v>
      </c>
      <c r="F201" t="s">
        <v>23</v>
      </c>
      <c r="G201" t="s">
        <v>24</v>
      </c>
      <c r="H201" t="s">
        <v>17</v>
      </c>
      <c r="I201">
        <v>5</v>
      </c>
      <c r="J201">
        <v>47</v>
      </c>
      <c r="K201">
        <v>235</v>
      </c>
      <c r="L201" t="str">
        <f>IF(tblVendas[[#This Row],[regiao]]="", "Não informado", tblVendas[[#This Row],[regiao]])</f>
        <v>Leste</v>
      </c>
      <c r="M201" t="str">
        <f>IF(tblVendas[[#This Row],[categoria]]="", "Outros", tblVendas[[#This Row],[categoria]])</f>
        <v>Acessórios</v>
      </c>
      <c r="N201">
        <f>IF(tblVendas[[#This Row],[valor_total]]&lt;0, MEDIAN(tblVendas[valor_total]), tblVendas[[#This Row],[valor_total]])</f>
        <v>235</v>
      </c>
    </row>
    <row r="202" spans="1:14" x14ac:dyDescent="0.25">
      <c r="A202" s="1">
        <v>45404</v>
      </c>
      <c r="B202">
        <v>2024</v>
      </c>
      <c r="C202">
        <v>4</v>
      </c>
      <c r="D202">
        <v>2</v>
      </c>
      <c r="E202" t="s">
        <v>18</v>
      </c>
      <c r="F202" t="s">
        <v>12</v>
      </c>
      <c r="G202" t="s">
        <v>13</v>
      </c>
      <c r="H202" t="s">
        <v>21</v>
      </c>
      <c r="I202">
        <v>3</v>
      </c>
      <c r="J202">
        <v>142</v>
      </c>
      <c r="K202">
        <v>426</v>
      </c>
      <c r="L202" t="str">
        <f>IF(tblVendas[[#This Row],[regiao]]="", "Não informado", tblVendas[[#This Row],[regiao]])</f>
        <v>Centro-Oeste</v>
      </c>
      <c r="M202" t="str">
        <f>IF(tblVendas[[#This Row],[categoria]]="", "Outros", tblVendas[[#This Row],[categoria]])</f>
        <v>Calçados</v>
      </c>
      <c r="N202">
        <f>IF(tblVendas[[#This Row],[valor_total]]&lt;0, MEDIAN(tblVendas[valor_total]), tblVendas[[#This Row],[valor_total]])</f>
        <v>426</v>
      </c>
    </row>
    <row r="203" spans="1:14" x14ac:dyDescent="0.25">
      <c r="A203" s="1">
        <v>45392</v>
      </c>
      <c r="B203">
        <v>2024</v>
      </c>
      <c r="C203">
        <v>4</v>
      </c>
      <c r="D203">
        <v>2</v>
      </c>
      <c r="E203" t="s">
        <v>33</v>
      </c>
      <c r="F203" t="s">
        <v>23</v>
      </c>
      <c r="G203" t="s">
        <v>13</v>
      </c>
      <c r="H203" t="s">
        <v>26</v>
      </c>
      <c r="I203">
        <v>5</v>
      </c>
      <c r="J203">
        <v>58</v>
      </c>
      <c r="K203">
        <v>290</v>
      </c>
      <c r="L203" t="str">
        <f>IF(tblVendas[[#This Row],[regiao]]="", "Não informado", tblVendas[[#This Row],[regiao]])</f>
        <v>Sul</v>
      </c>
      <c r="M203" t="str">
        <f>IF(tblVendas[[#This Row],[categoria]]="", "Outros", tblVendas[[#This Row],[categoria]])</f>
        <v>Acessórios</v>
      </c>
      <c r="N203">
        <f>IF(tblVendas[[#This Row],[valor_total]]&lt;0, MEDIAN(tblVendas[valor_total]), tblVendas[[#This Row],[valor_total]])</f>
        <v>290</v>
      </c>
    </row>
    <row r="204" spans="1:14" x14ac:dyDescent="0.25">
      <c r="A204" s="1">
        <v>45404</v>
      </c>
      <c r="B204">
        <v>2024</v>
      </c>
      <c r="C204">
        <v>4</v>
      </c>
      <c r="D204">
        <v>2</v>
      </c>
      <c r="E204" t="s">
        <v>18</v>
      </c>
      <c r="F204" t="s">
        <v>19</v>
      </c>
      <c r="G204" t="s">
        <v>13</v>
      </c>
      <c r="H204" t="s">
        <v>17</v>
      </c>
      <c r="I204">
        <v>17</v>
      </c>
      <c r="J204">
        <v>106</v>
      </c>
      <c r="K204">
        <v>1802</v>
      </c>
      <c r="L204" t="str">
        <f>IF(tblVendas[[#This Row],[regiao]]="", "Não informado", tblVendas[[#This Row],[regiao]])</f>
        <v>Leste</v>
      </c>
      <c r="M204" t="str">
        <f>IF(tblVendas[[#This Row],[categoria]]="", "Outros", tblVendas[[#This Row],[categoria]])</f>
        <v>Vestuário</v>
      </c>
      <c r="N204">
        <f>IF(tblVendas[[#This Row],[valor_total]]&lt;0, MEDIAN(tblVendas[valor_total]), tblVendas[[#This Row],[valor_total]])</f>
        <v>1802</v>
      </c>
    </row>
    <row r="205" spans="1:14" x14ac:dyDescent="0.25">
      <c r="A205" s="1">
        <v>45372</v>
      </c>
      <c r="B205">
        <v>2024</v>
      </c>
      <c r="C205">
        <v>3</v>
      </c>
      <c r="D205">
        <v>1</v>
      </c>
      <c r="E205" t="s">
        <v>15</v>
      </c>
      <c r="F205" t="s">
        <v>19</v>
      </c>
      <c r="G205" t="s">
        <v>28</v>
      </c>
      <c r="H205" t="s">
        <v>29</v>
      </c>
      <c r="I205">
        <v>19</v>
      </c>
      <c r="J205">
        <v>88</v>
      </c>
      <c r="K205">
        <v>1672</v>
      </c>
      <c r="L205" t="str">
        <f>IF(tblVendas[[#This Row],[regiao]]="", "Não informado", tblVendas[[#This Row],[regiao]])</f>
        <v>Oeste</v>
      </c>
      <c r="M205" t="str">
        <f>IF(tblVendas[[#This Row],[categoria]]="", "Outros", tblVendas[[#This Row],[categoria]])</f>
        <v>Vestuário</v>
      </c>
      <c r="N205">
        <f>IF(tblVendas[[#This Row],[valor_total]]&lt;0, MEDIAN(tblVendas[valor_total]), tblVendas[[#This Row],[valor_total]])</f>
        <v>1672</v>
      </c>
    </row>
    <row r="206" spans="1:14" x14ac:dyDescent="0.25">
      <c r="A206" s="1">
        <v>45478</v>
      </c>
      <c r="B206">
        <v>2024</v>
      </c>
      <c r="C206">
        <v>7</v>
      </c>
      <c r="D206">
        <v>3</v>
      </c>
      <c r="E206" t="s">
        <v>18</v>
      </c>
      <c r="F206" t="s">
        <v>19</v>
      </c>
      <c r="G206" t="s">
        <v>24</v>
      </c>
      <c r="H206" t="s">
        <v>21</v>
      </c>
      <c r="I206">
        <v>19</v>
      </c>
      <c r="J206">
        <v>155</v>
      </c>
      <c r="K206">
        <v>2945</v>
      </c>
      <c r="L206" t="str">
        <f>IF(tblVendas[[#This Row],[regiao]]="", "Não informado", tblVendas[[#This Row],[regiao]])</f>
        <v>Centro-Oeste</v>
      </c>
      <c r="M206" t="str">
        <f>IF(tblVendas[[#This Row],[categoria]]="", "Outros", tblVendas[[#This Row],[categoria]])</f>
        <v>Vestuário</v>
      </c>
      <c r="N206">
        <f>IF(tblVendas[[#This Row],[valor_total]]&lt;0, MEDIAN(tblVendas[valor_total]), tblVendas[[#This Row],[valor_total]])</f>
        <v>2945</v>
      </c>
    </row>
    <row r="207" spans="1:14" x14ac:dyDescent="0.25">
      <c r="A207" s="1">
        <v>45404</v>
      </c>
      <c r="B207">
        <v>2024</v>
      </c>
      <c r="C207">
        <v>4</v>
      </c>
      <c r="D207">
        <v>2</v>
      </c>
      <c r="E207" t="s">
        <v>30</v>
      </c>
      <c r="F207" t="s">
        <v>23</v>
      </c>
      <c r="G207" t="s">
        <v>24</v>
      </c>
      <c r="H207" t="s">
        <v>26</v>
      </c>
      <c r="I207">
        <v>12</v>
      </c>
      <c r="J207">
        <v>174</v>
      </c>
      <c r="K207">
        <v>2088</v>
      </c>
      <c r="L207" t="str">
        <f>IF(tblVendas[[#This Row],[regiao]]="", "Não informado", tblVendas[[#This Row],[regiao]])</f>
        <v>Sul</v>
      </c>
      <c r="M207" t="str">
        <f>IF(tblVendas[[#This Row],[categoria]]="", "Outros", tblVendas[[#This Row],[categoria]])</f>
        <v>Acessórios</v>
      </c>
      <c r="N207">
        <f>IF(tblVendas[[#This Row],[valor_total]]&lt;0, MEDIAN(tblVendas[valor_total]), tblVendas[[#This Row],[valor_total]])</f>
        <v>2088</v>
      </c>
    </row>
    <row r="208" spans="1:14" x14ac:dyDescent="0.25">
      <c r="A208" s="1">
        <v>45293</v>
      </c>
      <c r="B208">
        <v>2024</v>
      </c>
      <c r="C208">
        <v>1</v>
      </c>
      <c r="D208">
        <v>1</v>
      </c>
      <c r="E208" t="s">
        <v>31</v>
      </c>
      <c r="F208" t="s">
        <v>23</v>
      </c>
      <c r="G208" t="s">
        <v>16</v>
      </c>
      <c r="H208" t="s">
        <v>17</v>
      </c>
      <c r="I208">
        <v>9</v>
      </c>
      <c r="J208">
        <v>138</v>
      </c>
      <c r="K208">
        <v>1242</v>
      </c>
      <c r="L208" t="str">
        <f>IF(tblVendas[[#This Row],[regiao]]="", "Não informado", tblVendas[[#This Row],[regiao]])</f>
        <v>Leste</v>
      </c>
      <c r="M208" t="str">
        <f>IF(tblVendas[[#This Row],[categoria]]="", "Outros", tblVendas[[#This Row],[categoria]])</f>
        <v>Acessórios</v>
      </c>
      <c r="N208">
        <f>IF(tblVendas[[#This Row],[valor_total]]&lt;0, MEDIAN(tblVendas[valor_total]), tblVendas[[#This Row],[valor_total]])</f>
        <v>1242</v>
      </c>
    </row>
    <row r="209" spans="1:14" x14ac:dyDescent="0.25">
      <c r="A209" s="1">
        <v>45421</v>
      </c>
      <c r="B209">
        <v>2024</v>
      </c>
      <c r="C209">
        <v>5</v>
      </c>
      <c r="D209">
        <v>2</v>
      </c>
      <c r="E209" t="s">
        <v>32</v>
      </c>
      <c r="F209" t="s">
        <v>23</v>
      </c>
      <c r="G209" t="s">
        <v>16</v>
      </c>
      <c r="H209" t="s">
        <v>26</v>
      </c>
      <c r="I209">
        <v>1</v>
      </c>
      <c r="J209">
        <v>51</v>
      </c>
      <c r="K209">
        <v>51</v>
      </c>
      <c r="L209" t="str">
        <f>IF(tblVendas[[#This Row],[regiao]]="", "Não informado", tblVendas[[#This Row],[regiao]])</f>
        <v>Sul</v>
      </c>
      <c r="M209" t="str">
        <f>IF(tblVendas[[#This Row],[categoria]]="", "Outros", tblVendas[[#This Row],[categoria]])</f>
        <v>Acessórios</v>
      </c>
      <c r="N209">
        <f>IF(tblVendas[[#This Row],[valor_total]]&lt;0, MEDIAN(tblVendas[valor_total]), tblVendas[[#This Row],[valor_total]])</f>
        <v>51</v>
      </c>
    </row>
    <row r="210" spans="1:14" x14ac:dyDescent="0.25">
      <c r="A210" s="1">
        <v>45511</v>
      </c>
      <c r="B210">
        <v>2024</v>
      </c>
      <c r="C210">
        <v>8</v>
      </c>
      <c r="D210">
        <v>3</v>
      </c>
      <c r="E210" t="s">
        <v>33</v>
      </c>
      <c r="F210" t="s">
        <v>23</v>
      </c>
      <c r="G210" t="s">
        <v>16</v>
      </c>
      <c r="H210" t="s">
        <v>29</v>
      </c>
      <c r="I210">
        <v>18</v>
      </c>
      <c r="J210">
        <v>97</v>
      </c>
      <c r="K210">
        <v>1746</v>
      </c>
      <c r="L210" t="str">
        <f>IF(tblVendas[[#This Row],[regiao]]="", "Não informado", tblVendas[[#This Row],[regiao]])</f>
        <v>Oeste</v>
      </c>
      <c r="M210" t="str">
        <f>IF(tblVendas[[#This Row],[categoria]]="", "Outros", tblVendas[[#This Row],[categoria]])</f>
        <v>Acessórios</v>
      </c>
      <c r="N210">
        <f>IF(tblVendas[[#This Row],[valor_total]]&lt;0, MEDIAN(tblVendas[valor_total]), tblVendas[[#This Row],[valor_total]])</f>
        <v>1746</v>
      </c>
    </row>
    <row r="211" spans="1:14" x14ac:dyDescent="0.25">
      <c r="A211" s="1">
        <v>45345</v>
      </c>
      <c r="B211">
        <v>2024</v>
      </c>
      <c r="C211">
        <v>2</v>
      </c>
      <c r="D211">
        <v>1</v>
      </c>
      <c r="E211" t="s">
        <v>18</v>
      </c>
      <c r="F211" t="s">
        <v>23</v>
      </c>
      <c r="G211" t="s">
        <v>13</v>
      </c>
      <c r="H211" t="s">
        <v>26</v>
      </c>
      <c r="I211">
        <v>4</v>
      </c>
      <c r="J211">
        <v>98</v>
      </c>
      <c r="K211">
        <v>392</v>
      </c>
      <c r="L211" t="str">
        <f>IF(tblVendas[[#This Row],[regiao]]="", "Não informado", tblVendas[[#This Row],[regiao]])</f>
        <v>Sul</v>
      </c>
      <c r="M211" t="str">
        <f>IF(tblVendas[[#This Row],[categoria]]="", "Outros", tblVendas[[#This Row],[categoria]])</f>
        <v>Acessórios</v>
      </c>
      <c r="N211">
        <f>IF(tblVendas[[#This Row],[valor_total]]&lt;0, MEDIAN(tblVendas[valor_total]), tblVendas[[#This Row],[valor_total]])</f>
        <v>392</v>
      </c>
    </row>
    <row r="212" spans="1:14" x14ac:dyDescent="0.25">
      <c r="A212" s="1">
        <v>45634</v>
      </c>
      <c r="B212">
        <v>2024</v>
      </c>
      <c r="C212">
        <v>12</v>
      </c>
      <c r="D212">
        <v>4</v>
      </c>
      <c r="E212" t="s">
        <v>18</v>
      </c>
      <c r="F212" t="s">
        <v>19</v>
      </c>
      <c r="G212" t="s">
        <v>24</v>
      </c>
      <c r="H212" t="s">
        <v>14</v>
      </c>
      <c r="I212">
        <v>10</v>
      </c>
      <c r="J212">
        <v>194</v>
      </c>
      <c r="K212">
        <v>1940</v>
      </c>
      <c r="L212" t="str">
        <f>IF(tblVendas[[#This Row],[regiao]]="", "Não informado", tblVendas[[#This Row],[regiao]])</f>
        <v>Norte</v>
      </c>
      <c r="M212" t="str">
        <f>IF(tblVendas[[#This Row],[categoria]]="", "Outros", tblVendas[[#This Row],[categoria]])</f>
        <v>Vestuário</v>
      </c>
      <c r="N212">
        <f>IF(tblVendas[[#This Row],[valor_total]]&lt;0, MEDIAN(tblVendas[valor_total]), tblVendas[[#This Row],[valor_total]])</f>
        <v>1940</v>
      </c>
    </row>
    <row r="213" spans="1:14" x14ac:dyDescent="0.25">
      <c r="A213" s="1">
        <v>45515</v>
      </c>
      <c r="B213">
        <v>2024</v>
      </c>
      <c r="C213">
        <v>8</v>
      </c>
      <c r="D213">
        <v>3</v>
      </c>
      <c r="E213" t="s">
        <v>15</v>
      </c>
      <c r="F213" t="s">
        <v>12</v>
      </c>
      <c r="G213" t="s">
        <v>13</v>
      </c>
      <c r="H213" t="s">
        <v>17</v>
      </c>
      <c r="I213">
        <v>7</v>
      </c>
      <c r="J213">
        <v>78</v>
      </c>
      <c r="K213">
        <v>546</v>
      </c>
      <c r="L213" t="str">
        <f>IF(tblVendas[[#This Row],[regiao]]="", "Não informado", tblVendas[[#This Row],[regiao]])</f>
        <v>Leste</v>
      </c>
      <c r="M213" t="str">
        <f>IF(tblVendas[[#This Row],[categoria]]="", "Outros", tblVendas[[#This Row],[categoria]])</f>
        <v>Calçados</v>
      </c>
      <c r="N213">
        <f>IF(tblVendas[[#This Row],[valor_total]]&lt;0, MEDIAN(tblVendas[valor_total]), tblVendas[[#This Row],[valor_total]])</f>
        <v>546</v>
      </c>
    </row>
    <row r="214" spans="1:14" x14ac:dyDescent="0.25">
      <c r="A214" s="1">
        <v>45516</v>
      </c>
      <c r="B214">
        <v>2024</v>
      </c>
      <c r="C214">
        <v>8</v>
      </c>
      <c r="D214">
        <v>3</v>
      </c>
      <c r="E214" t="s">
        <v>32</v>
      </c>
      <c r="F214" t="s">
        <v>19</v>
      </c>
      <c r="G214" t="s">
        <v>28</v>
      </c>
      <c r="H214" t="s">
        <v>26</v>
      </c>
      <c r="I214">
        <v>1</v>
      </c>
      <c r="J214">
        <v>170</v>
      </c>
      <c r="K214">
        <v>170</v>
      </c>
      <c r="L214" t="str">
        <f>IF(tblVendas[[#This Row],[regiao]]="", "Não informado", tblVendas[[#This Row],[regiao]])</f>
        <v>Sul</v>
      </c>
      <c r="M214" t="str">
        <f>IF(tblVendas[[#This Row],[categoria]]="", "Outros", tblVendas[[#This Row],[categoria]])</f>
        <v>Vestuário</v>
      </c>
      <c r="N214">
        <f>IF(tblVendas[[#This Row],[valor_total]]&lt;0, MEDIAN(tblVendas[valor_total]), tblVendas[[#This Row],[valor_total]])</f>
        <v>170</v>
      </c>
    </row>
    <row r="215" spans="1:14" x14ac:dyDescent="0.25">
      <c r="A215" s="1">
        <v>45417</v>
      </c>
      <c r="B215">
        <v>2024</v>
      </c>
      <c r="C215">
        <v>5</v>
      </c>
      <c r="D215">
        <v>2</v>
      </c>
      <c r="E215" t="s">
        <v>27</v>
      </c>
      <c r="F215" t="s">
        <v>23</v>
      </c>
      <c r="G215" t="s">
        <v>16</v>
      </c>
      <c r="H215" t="s">
        <v>29</v>
      </c>
      <c r="I215">
        <v>17</v>
      </c>
      <c r="J215">
        <v>191</v>
      </c>
      <c r="K215">
        <v>3247</v>
      </c>
      <c r="L215" t="str">
        <f>IF(tblVendas[[#This Row],[regiao]]="", "Não informado", tblVendas[[#This Row],[regiao]])</f>
        <v>Oeste</v>
      </c>
      <c r="M215" t="str">
        <f>IF(tblVendas[[#This Row],[categoria]]="", "Outros", tblVendas[[#This Row],[categoria]])</f>
        <v>Acessórios</v>
      </c>
      <c r="N215">
        <f>IF(tblVendas[[#This Row],[valor_total]]&lt;0, MEDIAN(tblVendas[valor_total]), tblVendas[[#This Row],[valor_total]])</f>
        <v>3247</v>
      </c>
    </row>
    <row r="216" spans="1:14" x14ac:dyDescent="0.25">
      <c r="A216" s="1">
        <v>45421</v>
      </c>
      <c r="B216">
        <v>2024</v>
      </c>
      <c r="C216">
        <v>5</v>
      </c>
      <c r="D216">
        <v>2</v>
      </c>
      <c r="E216" t="s">
        <v>18</v>
      </c>
      <c r="F216" t="s">
        <v>19</v>
      </c>
      <c r="G216" t="s">
        <v>13</v>
      </c>
      <c r="H216" t="s">
        <v>29</v>
      </c>
      <c r="I216">
        <v>2</v>
      </c>
      <c r="J216">
        <v>138</v>
      </c>
      <c r="K216">
        <v>276</v>
      </c>
      <c r="L216" t="str">
        <f>IF(tblVendas[[#This Row],[regiao]]="", "Não informado", tblVendas[[#This Row],[regiao]])</f>
        <v>Oeste</v>
      </c>
      <c r="M216" t="str">
        <f>IF(tblVendas[[#This Row],[categoria]]="", "Outros", tblVendas[[#This Row],[categoria]])</f>
        <v>Vestuário</v>
      </c>
      <c r="N216">
        <f>IF(tblVendas[[#This Row],[valor_total]]&lt;0, MEDIAN(tblVendas[valor_total]), tblVendas[[#This Row],[valor_total]])</f>
        <v>276</v>
      </c>
    </row>
    <row r="217" spans="1:14" x14ac:dyDescent="0.25">
      <c r="A217" s="1">
        <v>45344</v>
      </c>
      <c r="B217">
        <v>2024</v>
      </c>
      <c r="C217">
        <v>2</v>
      </c>
      <c r="D217">
        <v>1</v>
      </c>
      <c r="E217" t="s">
        <v>30</v>
      </c>
      <c r="F217" t="s">
        <v>23</v>
      </c>
      <c r="G217" t="s">
        <v>13</v>
      </c>
      <c r="H217" t="s">
        <v>26</v>
      </c>
      <c r="I217">
        <v>11</v>
      </c>
      <c r="J217">
        <v>115</v>
      </c>
      <c r="K217">
        <v>1265</v>
      </c>
      <c r="L217" t="str">
        <f>IF(tblVendas[[#This Row],[regiao]]="", "Não informado", tblVendas[[#This Row],[regiao]])</f>
        <v>Sul</v>
      </c>
      <c r="M217" t="str">
        <f>IF(tblVendas[[#This Row],[categoria]]="", "Outros", tblVendas[[#This Row],[categoria]])</f>
        <v>Acessórios</v>
      </c>
      <c r="N217">
        <f>IF(tblVendas[[#This Row],[valor_total]]&lt;0, MEDIAN(tblVendas[valor_total]), tblVendas[[#This Row],[valor_total]])</f>
        <v>1265</v>
      </c>
    </row>
    <row r="218" spans="1:14" x14ac:dyDescent="0.25">
      <c r="A218" s="1">
        <v>45463</v>
      </c>
      <c r="B218">
        <v>2024</v>
      </c>
      <c r="C218">
        <v>6</v>
      </c>
      <c r="D218">
        <v>2</v>
      </c>
      <c r="E218" t="s">
        <v>11</v>
      </c>
      <c r="F218" t="s">
        <v>23</v>
      </c>
      <c r="G218" t="s">
        <v>28</v>
      </c>
      <c r="H218" t="s">
        <v>29</v>
      </c>
      <c r="I218">
        <v>9</v>
      </c>
      <c r="J218">
        <v>82</v>
      </c>
      <c r="K218">
        <v>738</v>
      </c>
      <c r="L218" t="str">
        <f>IF(tblVendas[[#This Row],[regiao]]="", "Não informado", tblVendas[[#This Row],[regiao]])</f>
        <v>Oeste</v>
      </c>
      <c r="M218" t="str">
        <f>IF(tblVendas[[#This Row],[categoria]]="", "Outros", tblVendas[[#This Row],[categoria]])</f>
        <v>Acessórios</v>
      </c>
      <c r="N218">
        <f>IF(tblVendas[[#This Row],[valor_total]]&lt;0, MEDIAN(tblVendas[valor_total]), tblVendas[[#This Row],[valor_total]])</f>
        <v>738</v>
      </c>
    </row>
    <row r="219" spans="1:14" x14ac:dyDescent="0.25">
      <c r="A219" s="1">
        <v>45509</v>
      </c>
      <c r="B219">
        <v>2024</v>
      </c>
      <c r="C219">
        <v>8</v>
      </c>
      <c r="D219">
        <v>3</v>
      </c>
      <c r="E219" t="s">
        <v>33</v>
      </c>
      <c r="F219" t="s">
        <v>19</v>
      </c>
      <c r="G219" t="s">
        <v>20</v>
      </c>
      <c r="H219" t="s">
        <v>21</v>
      </c>
      <c r="I219">
        <v>7</v>
      </c>
      <c r="J219">
        <v>152</v>
      </c>
      <c r="K219">
        <v>1064</v>
      </c>
      <c r="L219" t="str">
        <f>IF(tblVendas[[#This Row],[regiao]]="", "Não informado", tblVendas[[#This Row],[regiao]])</f>
        <v>Centro-Oeste</v>
      </c>
      <c r="M219" t="str">
        <f>IF(tblVendas[[#This Row],[categoria]]="", "Outros", tblVendas[[#This Row],[categoria]])</f>
        <v>Vestuário</v>
      </c>
      <c r="N219">
        <f>IF(tblVendas[[#This Row],[valor_total]]&lt;0, MEDIAN(tblVendas[valor_total]), tblVendas[[#This Row],[valor_total]])</f>
        <v>1064</v>
      </c>
    </row>
    <row r="220" spans="1:14" x14ac:dyDescent="0.25">
      <c r="A220" s="1">
        <v>45451</v>
      </c>
      <c r="B220">
        <v>2024</v>
      </c>
      <c r="C220">
        <v>6</v>
      </c>
      <c r="D220">
        <v>2</v>
      </c>
      <c r="E220" t="s">
        <v>18</v>
      </c>
      <c r="F220" t="s">
        <v>23</v>
      </c>
      <c r="G220" t="s">
        <v>24</v>
      </c>
      <c r="H220" t="s">
        <v>21</v>
      </c>
      <c r="I220">
        <v>17</v>
      </c>
      <c r="J220">
        <v>116</v>
      </c>
      <c r="K220">
        <v>1972</v>
      </c>
      <c r="L220" t="str">
        <f>IF(tblVendas[[#This Row],[regiao]]="", "Não informado", tblVendas[[#This Row],[regiao]])</f>
        <v>Centro-Oeste</v>
      </c>
      <c r="M220" t="str">
        <f>IF(tblVendas[[#This Row],[categoria]]="", "Outros", tblVendas[[#This Row],[categoria]])</f>
        <v>Acessórios</v>
      </c>
      <c r="N220">
        <f>IF(tblVendas[[#This Row],[valor_total]]&lt;0, MEDIAN(tblVendas[valor_total]), tblVendas[[#This Row],[valor_total]])</f>
        <v>1972</v>
      </c>
    </row>
    <row r="221" spans="1:14" x14ac:dyDescent="0.25">
      <c r="A221" s="1">
        <v>45489</v>
      </c>
      <c r="B221">
        <v>2024</v>
      </c>
      <c r="C221">
        <v>7</v>
      </c>
      <c r="D221">
        <v>3</v>
      </c>
      <c r="E221" t="s">
        <v>30</v>
      </c>
      <c r="F221" t="s">
        <v>12</v>
      </c>
      <c r="G221" t="s">
        <v>20</v>
      </c>
      <c r="H221" t="s">
        <v>21</v>
      </c>
      <c r="I221">
        <v>17</v>
      </c>
      <c r="J221">
        <v>160</v>
      </c>
      <c r="K221">
        <v>2720</v>
      </c>
      <c r="L221" t="str">
        <f>IF(tblVendas[[#This Row],[regiao]]="", "Não informado", tblVendas[[#This Row],[regiao]])</f>
        <v>Centro-Oeste</v>
      </c>
      <c r="M221" t="str">
        <f>IF(tblVendas[[#This Row],[categoria]]="", "Outros", tblVendas[[#This Row],[categoria]])</f>
        <v>Calçados</v>
      </c>
      <c r="N221">
        <f>IF(tblVendas[[#This Row],[valor_total]]&lt;0, MEDIAN(tblVendas[valor_total]), tblVendas[[#This Row],[valor_total]])</f>
        <v>2720</v>
      </c>
    </row>
    <row r="222" spans="1:14" x14ac:dyDescent="0.25">
      <c r="A222" s="1">
        <v>45538</v>
      </c>
      <c r="B222">
        <v>2024</v>
      </c>
      <c r="C222">
        <v>9</v>
      </c>
      <c r="D222">
        <v>3</v>
      </c>
      <c r="E222" t="s">
        <v>30</v>
      </c>
      <c r="F222" t="s">
        <v>23</v>
      </c>
      <c r="G222" t="s">
        <v>16</v>
      </c>
      <c r="H222" t="s">
        <v>14</v>
      </c>
      <c r="I222">
        <v>2</v>
      </c>
      <c r="J222">
        <v>71</v>
      </c>
      <c r="K222">
        <v>142</v>
      </c>
      <c r="L222" t="str">
        <f>IF(tblVendas[[#This Row],[regiao]]="", "Não informado", tblVendas[[#This Row],[regiao]])</f>
        <v>Norte</v>
      </c>
      <c r="M222" t="str">
        <f>IF(tblVendas[[#This Row],[categoria]]="", "Outros", tblVendas[[#This Row],[categoria]])</f>
        <v>Acessórios</v>
      </c>
      <c r="N222">
        <f>IF(tblVendas[[#This Row],[valor_total]]&lt;0, MEDIAN(tblVendas[valor_total]), tblVendas[[#This Row],[valor_total]])</f>
        <v>142</v>
      </c>
    </row>
    <row r="223" spans="1:14" x14ac:dyDescent="0.25">
      <c r="A223" s="1">
        <v>45615</v>
      </c>
      <c r="B223">
        <v>2024</v>
      </c>
      <c r="C223">
        <v>11</v>
      </c>
      <c r="D223">
        <v>4</v>
      </c>
      <c r="E223" t="s">
        <v>33</v>
      </c>
      <c r="F223" t="s">
        <v>12</v>
      </c>
      <c r="G223" t="s">
        <v>13</v>
      </c>
      <c r="H223" t="s">
        <v>26</v>
      </c>
      <c r="I223">
        <v>6</v>
      </c>
      <c r="J223">
        <v>127</v>
      </c>
      <c r="K223">
        <v>762</v>
      </c>
      <c r="L223" t="str">
        <f>IF(tblVendas[[#This Row],[regiao]]="", "Não informado", tblVendas[[#This Row],[regiao]])</f>
        <v>Sul</v>
      </c>
      <c r="M223" t="str">
        <f>IF(tblVendas[[#This Row],[categoria]]="", "Outros", tblVendas[[#This Row],[categoria]])</f>
        <v>Calçados</v>
      </c>
      <c r="N223">
        <f>IF(tblVendas[[#This Row],[valor_total]]&lt;0, MEDIAN(tblVendas[valor_total]), tblVendas[[#This Row],[valor_total]])</f>
        <v>762</v>
      </c>
    </row>
    <row r="224" spans="1:14" x14ac:dyDescent="0.25">
      <c r="A224" s="1">
        <v>45494</v>
      </c>
      <c r="B224">
        <v>2024</v>
      </c>
      <c r="C224">
        <v>7</v>
      </c>
      <c r="D224">
        <v>3</v>
      </c>
      <c r="E224" t="s">
        <v>27</v>
      </c>
      <c r="F224" t="s">
        <v>12</v>
      </c>
      <c r="G224" t="s">
        <v>28</v>
      </c>
      <c r="H224" t="s">
        <v>14</v>
      </c>
      <c r="I224">
        <v>14</v>
      </c>
      <c r="J224">
        <v>189</v>
      </c>
      <c r="K224">
        <v>2646</v>
      </c>
      <c r="L224" t="str">
        <f>IF(tblVendas[[#This Row],[regiao]]="", "Não informado", tblVendas[[#This Row],[regiao]])</f>
        <v>Norte</v>
      </c>
      <c r="M224" t="str">
        <f>IF(tblVendas[[#This Row],[categoria]]="", "Outros", tblVendas[[#This Row],[categoria]])</f>
        <v>Calçados</v>
      </c>
      <c r="N224">
        <f>IF(tblVendas[[#This Row],[valor_total]]&lt;0, MEDIAN(tblVendas[valor_total]), tblVendas[[#This Row],[valor_total]])</f>
        <v>2646</v>
      </c>
    </row>
    <row r="225" spans="1:14" x14ac:dyDescent="0.25">
      <c r="A225" s="1">
        <v>45475</v>
      </c>
      <c r="B225">
        <v>2024</v>
      </c>
      <c r="C225">
        <v>7</v>
      </c>
      <c r="D225">
        <v>3</v>
      </c>
      <c r="E225" t="s">
        <v>30</v>
      </c>
      <c r="F225" t="s">
        <v>23</v>
      </c>
      <c r="G225" t="s">
        <v>28</v>
      </c>
      <c r="H225" t="s">
        <v>29</v>
      </c>
      <c r="I225">
        <v>6</v>
      </c>
      <c r="J225">
        <v>138</v>
      </c>
      <c r="K225">
        <v>828</v>
      </c>
      <c r="L225" t="str">
        <f>IF(tblVendas[[#This Row],[regiao]]="", "Não informado", tblVendas[[#This Row],[regiao]])</f>
        <v>Oeste</v>
      </c>
      <c r="M225" t="str">
        <f>IF(tblVendas[[#This Row],[categoria]]="", "Outros", tblVendas[[#This Row],[categoria]])</f>
        <v>Acessórios</v>
      </c>
      <c r="N225">
        <f>IF(tblVendas[[#This Row],[valor_total]]&lt;0, MEDIAN(tblVendas[valor_total]), tblVendas[[#This Row],[valor_total]])</f>
        <v>828</v>
      </c>
    </row>
    <row r="226" spans="1:14" x14ac:dyDescent="0.25">
      <c r="A226" s="1">
        <v>45414</v>
      </c>
      <c r="B226">
        <v>2024</v>
      </c>
      <c r="C226">
        <v>5</v>
      </c>
      <c r="D226">
        <v>2</v>
      </c>
      <c r="E226" t="s">
        <v>11</v>
      </c>
      <c r="F226" t="s">
        <v>19</v>
      </c>
      <c r="G226" t="s">
        <v>24</v>
      </c>
      <c r="H226" t="s">
        <v>14</v>
      </c>
      <c r="I226">
        <v>2</v>
      </c>
      <c r="J226">
        <v>80</v>
      </c>
      <c r="K226">
        <v>160</v>
      </c>
      <c r="L226" t="str">
        <f>IF(tblVendas[[#This Row],[regiao]]="", "Não informado", tblVendas[[#This Row],[regiao]])</f>
        <v>Norte</v>
      </c>
      <c r="M226" t="str">
        <f>IF(tblVendas[[#This Row],[categoria]]="", "Outros", tblVendas[[#This Row],[categoria]])</f>
        <v>Vestuário</v>
      </c>
      <c r="N226">
        <f>IF(tblVendas[[#This Row],[valor_total]]&lt;0, MEDIAN(tblVendas[valor_total]), tblVendas[[#This Row],[valor_total]])</f>
        <v>160</v>
      </c>
    </row>
    <row r="227" spans="1:14" x14ac:dyDescent="0.25">
      <c r="A227" s="1">
        <v>45546</v>
      </c>
      <c r="B227">
        <v>2024</v>
      </c>
      <c r="C227">
        <v>9</v>
      </c>
      <c r="D227">
        <v>3</v>
      </c>
      <c r="E227" t="s">
        <v>30</v>
      </c>
      <c r="F227" t="s">
        <v>12</v>
      </c>
      <c r="G227" t="s">
        <v>20</v>
      </c>
      <c r="H227" t="s">
        <v>29</v>
      </c>
      <c r="I227">
        <v>1</v>
      </c>
      <c r="J227">
        <v>114</v>
      </c>
      <c r="K227">
        <v>114</v>
      </c>
      <c r="L227" t="str">
        <f>IF(tblVendas[[#This Row],[regiao]]="", "Não informado", tblVendas[[#This Row],[regiao]])</f>
        <v>Oeste</v>
      </c>
      <c r="M227" t="str">
        <f>IF(tblVendas[[#This Row],[categoria]]="", "Outros", tblVendas[[#This Row],[categoria]])</f>
        <v>Calçados</v>
      </c>
      <c r="N227">
        <f>IF(tblVendas[[#This Row],[valor_total]]&lt;0, MEDIAN(tblVendas[valor_total]), tblVendas[[#This Row],[valor_total]])</f>
        <v>114</v>
      </c>
    </row>
    <row r="228" spans="1:14" x14ac:dyDescent="0.25">
      <c r="A228" s="1">
        <v>45585</v>
      </c>
      <c r="B228">
        <v>2024</v>
      </c>
      <c r="C228">
        <v>10</v>
      </c>
      <c r="D228">
        <v>4</v>
      </c>
      <c r="E228" t="s">
        <v>30</v>
      </c>
      <c r="F228" t="s">
        <v>19</v>
      </c>
      <c r="G228" t="s">
        <v>24</v>
      </c>
      <c r="H228" t="s">
        <v>29</v>
      </c>
      <c r="I228">
        <v>10</v>
      </c>
      <c r="J228">
        <v>156</v>
      </c>
      <c r="K228">
        <v>1560</v>
      </c>
      <c r="L228" t="str">
        <f>IF(tblVendas[[#This Row],[regiao]]="", "Não informado", tblVendas[[#This Row],[regiao]])</f>
        <v>Oeste</v>
      </c>
      <c r="M228" t="str">
        <f>IF(tblVendas[[#This Row],[categoria]]="", "Outros", tblVendas[[#This Row],[categoria]])</f>
        <v>Vestuário</v>
      </c>
      <c r="N228">
        <f>IF(tblVendas[[#This Row],[valor_total]]&lt;0, MEDIAN(tblVendas[valor_total]), tblVendas[[#This Row],[valor_total]])</f>
        <v>1560</v>
      </c>
    </row>
    <row r="229" spans="1:14" x14ac:dyDescent="0.25">
      <c r="A229" s="1">
        <v>45571</v>
      </c>
      <c r="B229">
        <v>2024</v>
      </c>
      <c r="C229">
        <v>10</v>
      </c>
      <c r="D229">
        <v>4</v>
      </c>
      <c r="E229" t="s">
        <v>30</v>
      </c>
      <c r="F229" t="s">
        <v>12</v>
      </c>
      <c r="G229" t="s">
        <v>13</v>
      </c>
      <c r="H229" t="s">
        <v>17</v>
      </c>
      <c r="I229">
        <v>5</v>
      </c>
      <c r="J229">
        <v>50</v>
      </c>
      <c r="K229">
        <v>250</v>
      </c>
      <c r="L229" t="str">
        <f>IF(tblVendas[[#This Row],[regiao]]="", "Não informado", tblVendas[[#This Row],[regiao]])</f>
        <v>Leste</v>
      </c>
      <c r="M229" t="str">
        <f>IF(tblVendas[[#This Row],[categoria]]="", "Outros", tblVendas[[#This Row],[categoria]])</f>
        <v>Calçados</v>
      </c>
      <c r="N229">
        <f>IF(tblVendas[[#This Row],[valor_total]]&lt;0, MEDIAN(tblVendas[valor_total]), tblVendas[[#This Row],[valor_total]])</f>
        <v>250</v>
      </c>
    </row>
    <row r="230" spans="1:14" x14ac:dyDescent="0.25">
      <c r="A230" s="1">
        <v>45616</v>
      </c>
      <c r="B230">
        <v>2024</v>
      </c>
      <c r="C230">
        <v>11</v>
      </c>
      <c r="D230">
        <v>4</v>
      </c>
      <c r="E230" t="s">
        <v>31</v>
      </c>
      <c r="F230" t="s">
        <v>23</v>
      </c>
      <c r="G230" t="s">
        <v>24</v>
      </c>
      <c r="H230" t="s">
        <v>21</v>
      </c>
      <c r="I230">
        <v>2</v>
      </c>
      <c r="J230">
        <v>73</v>
      </c>
      <c r="K230">
        <v>146</v>
      </c>
      <c r="L230" t="str">
        <f>IF(tblVendas[[#This Row],[regiao]]="", "Não informado", tblVendas[[#This Row],[regiao]])</f>
        <v>Centro-Oeste</v>
      </c>
      <c r="M230" t="str">
        <f>IF(tblVendas[[#This Row],[categoria]]="", "Outros", tblVendas[[#This Row],[categoria]])</f>
        <v>Acessórios</v>
      </c>
      <c r="N230">
        <f>IF(tblVendas[[#This Row],[valor_total]]&lt;0, MEDIAN(tblVendas[valor_total]), tblVendas[[#This Row],[valor_total]])</f>
        <v>146</v>
      </c>
    </row>
    <row r="231" spans="1:14" x14ac:dyDescent="0.25">
      <c r="A231" s="1">
        <v>45389</v>
      </c>
      <c r="B231">
        <v>2024</v>
      </c>
      <c r="C231">
        <v>4</v>
      </c>
      <c r="D231">
        <v>2</v>
      </c>
      <c r="E231" t="s">
        <v>31</v>
      </c>
      <c r="F231" t="s">
        <v>23</v>
      </c>
      <c r="G231" t="s">
        <v>28</v>
      </c>
      <c r="H231" t="s">
        <v>29</v>
      </c>
      <c r="I231">
        <v>16</v>
      </c>
      <c r="J231">
        <v>168</v>
      </c>
      <c r="K231">
        <v>2688</v>
      </c>
      <c r="L231" t="str">
        <f>IF(tblVendas[[#This Row],[regiao]]="", "Não informado", tblVendas[[#This Row],[regiao]])</f>
        <v>Oeste</v>
      </c>
      <c r="M231" t="str">
        <f>IF(tblVendas[[#This Row],[categoria]]="", "Outros", tblVendas[[#This Row],[categoria]])</f>
        <v>Acessórios</v>
      </c>
      <c r="N231">
        <f>IF(tblVendas[[#This Row],[valor_total]]&lt;0, MEDIAN(tblVendas[valor_total]), tblVendas[[#This Row],[valor_total]])</f>
        <v>2688</v>
      </c>
    </row>
    <row r="232" spans="1:14" x14ac:dyDescent="0.25">
      <c r="A232" s="1">
        <v>45489</v>
      </c>
      <c r="B232">
        <v>2024</v>
      </c>
      <c r="C232">
        <v>7</v>
      </c>
      <c r="D232">
        <v>3</v>
      </c>
      <c r="E232" t="s">
        <v>27</v>
      </c>
      <c r="F232" t="s">
        <v>12</v>
      </c>
      <c r="G232" t="s">
        <v>28</v>
      </c>
      <c r="H232" t="s">
        <v>17</v>
      </c>
      <c r="I232">
        <v>2</v>
      </c>
      <c r="J232">
        <v>132</v>
      </c>
      <c r="K232">
        <v>264</v>
      </c>
      <c r="L232" t="str">
        <f>IF(tblVendas[[#This Row],[regiao]]="", "Não informado", tblVendas[[#This Row],[regiao]])</f>
        <v>Leste</v>
      </c>
      <c r="M232" t="str">
        <f>IF(tblVendas[[#This Row],[categoria]]="", "Outros", tblVendas[[#This Row],[categoria]])</f>
        <v>Calçados</v>
      </c>
      <c r="N232">
        <f>IF(tblVendas[[#This Row],[valor_total]]&lt;0, MEDIAN(tblVendas[valor_total]), tblVendas[[#This Row],[valor_total]])</f>
        <v>264</v>
      </c>
    </row>
    <row r="233" spans="1:14" x14ac:dyDescent="0.25">
      <c r="A233" s="1">
        <v>45531</v>
      </c>
      <c r="B233">
        <v>2024</v>
      </c>
      <c r="C233">
        <v>8</v>
      </c>
      <c r="D233">
        <v>3</v>
      </c>
      <c r="E233" t="s">
        <v>18</v>
      </c>
      <c r="F233" t="s">
        <v>23</v>
      </c>
      <c r="G233" t="s">
        <v>16</v>
      </c>
      <c r="H233" t="s">
        <v>21</v>
      </c>
      <c r="I233">
        <v>10</v>
      </c>
      <c r="J233">
        <v>97</v>
      </c>
      <c r="K233">
        <v>970</v>
      </c>
      <c r="L233" t="str">
        <f>IF(tblVendas[[#This Row],[regiao]]="", "Não informado", tblVendas[[#This Row],[regiao]])</f>
        <v>Centro-Oeste</v>
      </c>
      <c r="M233" t="str">
        <f>IF(tblVendas[[#This Row],[categoria]]="", "Outros", tblVendas[[#This Row],[categoria]])</f>
        <v>Acessórios</v>
      </c>
      <c r="N233">
        <f>IF(tblVendas[[#This Row],[valor_total]]&lt;0, MEDIAN(tblVendas[valor_total]), tblVendas[[#This Row],[valor_total]])</f>
        <v>970</v>
      </c>
    </row>
    <row r="234" spans="1:14" x14ac:dyDescent="0.25">
      <c r="A234" s="1">
        <v>45435</v>
      </c>
      <c r="B234">
        <v>2024</v>
      </c>
      <c r="C234">
        <v>5</v>
      </c>
      <c r="D234">
        <v>2</v>
      </c>
      <c r="E234" t="s">
        <v>30</v>
      </c>
      <c r="F234" t="s">
        <v>12</v>
      </c>
      <c r="G234" t="s">
        <v>16</v>
      </c>
      <c r="H234" t="s">
        <v>29</v>
      </c>
      <c r="I234">
        <v>2</v>
      </c>
      <c r="J234">
        <v>158</v>
      </c>
      <c r="K234">
        <v>316</v>
      </c>
      <c r="L234" t="str">
        <f>IF(tblVendas[[#This Row],[regiao]]="", "Não informado", tblVendas[[#This Row],[regiao]])</f>
        <v>Oeste</v>
      </c>
      <c r="M234" t="str">
        <f>IF(tblVendas[[#This Row],[categoria]]="", "Outros", tblVendas[[#This Row],[categoria]])</f>
        <v>Calçados</v>
      </c>
      <c r="N234">
        <f>IF(tblVendas[[#This Row],[valor_total]]&lt;0, MEDIAN(tblVendas[valor_total]), tblVendas[[#This Row],[valor_total]])</f>
        <v>316</v>
      </c>
    </row>
    <row r="235" spans="1:14" x14ac:dyDescent="0.25">
      <c r="A235" s="1">
        <v>45388</v>
      </c>
      <c r="B235">
        <v>2024</v>
      </c>
      <c r="C235">
        <v>4</v>
      </c>
      <c r="D235">
        <v>2</v>
      </c>
      <c r="E235" t="s">
        <v>32</v>
      </c>
      <c r="F235" t="s">
        <v>23</v>
      </c>
      <c r="G235" t="s">
        <v>13</v>
      </c>
      <c r="H235" t="s">
        <v>29</v>
      </c>
      <c r="I235">
        <v>16</v>
      </c>
      <c r="J235">
        <v>121</v>
      </c>
      <c r="K235">
        <v>1936</v>
      </c>
      <c r="L235" t="str">
        <f>IF(tblVendas[[#This Row],[regiao]]="", "Não informado", tblVendas[[#This Row],[regiao]])</f>
        <v>Oeste</v>
      </c>
      <c r="M235" t="str">
        <f>IF(tblVendas[[#This Row],[categoria]]="", "Outros", tblVendas[[#This Row],[categoria]])</f>
        <v>Acessórios</v>
      </c>
      <c r="N235">
        <f>IF(tblVendas[[#This Row],[valor_total]]&lt;0, MEDIAN(tblVendas[valor_total]), tblVendas[[#This Row],[valor_total]])</f>
        <v>1936</v>
      </c>
    </row>
    <row r="236" spans="1:14" x14ac:dyDescent="0.25">
      <c r="A236" s="1">
        <v>45492</v>
      </c>
      <c r="B236">
        <v>2024</v>
      </c>
      <c r="C236">
        <v>7</v>
      </c>
      <c r="D236">
        <v>3</v>
      </c>
      <c r="E236" t="s">
        <v>18</v>
      </c>
      <c r="F236" t="s">
        <v>19</v>
      </c>
      <c r="G236" t="s">
        <v>20</v>
      </c>
      <c r="H236" t="s">
        <v>14</v>
      </c>
      <c r="I236">
        <v>16</v>
      </c>
      <c r="J236">
        <v>53</v>
      </c>
      <c r="K236">
        <v>848</v>
      </c>
      <c r="L236" t="str">
        <f>IF(tblVendas[[#This Row],[regiao]]="", "Não informado", tblVendas[[#This Row],[regiao]])</f>
        <v>Norte</v>
      </c>
      <c r="M236" t="str">
        <f>IF(tblVendas[[#This Row],[categoria]]="", "Outros", tblVendas[[#This Row],[categoria]])</f>
        <v>Vestuário</v>
      </c>
      <c r="N236">
        <f>IF(tblVendas[[#This Row],[valor_total]]&lt;0, MEDIAN(tblVendas[valor_total]), tblVendas[[#This Row],[valor_total]])</f>
        <v>848</v>
      </c>
    </row>
    <row r="237" spans="1:14" x14ac:dyDescent="0.25">
      <c r="A237" s="1">
        <v>45415</v>
      </c>
      <c r="B237">
        <v>2024</v>
      </c>
      <c r="C237">
        <v>5</v>
      </c>
      <c r="D237">
        <v>2</v>
      </c>
      <c r="E237" t="s">
        <v>27</v>
      </c>
      <c r="F237" t="s">
        <v>23</v>
      </c>
      <c r="G237" t="s">
        <v>24</v>
      </c>
      <c r="H237" t="s">
        <v>14</v>
      </c>
      <c r="I237">
        <v>19</v>
      </c>
      <c r="J237">
        <v>154</v>
      </c>
      <c r="K237">
        <v>2926</v>
      </c>
      <c r="L237" t="str">
        <f>IF(tblVendas[[#This Row],[regiao]]="", "Não informado", tblVendas[[#This Row],[regiao]])</f>
        <v>Norte</v>
      </c>
      <c r="M237" t="str">
        <f>IF(tblVendas[[#This Row],[categoria]]="", "Outros", tblVendas[[#This Row],[categoria]])</f>
        <v>Acessórios</v>
      </c>
      <c r="N237">
        <f>IF(tblVendas[[#This Row],[valor_total]]&lt;0, MEDIAN(tblVendas[valor_total]), tblVendas[[#This Row],[valor_total]])</f>
        <v>2926</v>
      </c>
    </row>
    <row r="238" spans="1:14" x14ac:dyDescent="0.25">
      <c r="A238" s="1">
        <v>45478</v>
      </c>
      <c r="B238">
        <v>2024</v>
      </c>
      <c r="C238">
        <v>7</v>
      </c>
      <c r="D238">
        <v>3</v>
      </c>
      <c r="E238" t="s">
        <v>22</v>
      </c>
      <c r="F238" t="s">
        <v>19</v>
      </c>
      <c r="G238" t="s">
        <v>13</v>
      </c>
      <c r="H238" t="s">
        <v>21</v>
      </c>
      <c r="I238">
        <v>7</v>
      </c>
      <c r="J238">
        <v>170</v>
      </c>
      <c r="K238">
        <v>1190</v>
      </c>
      <c r="L238" t="str">
        <f>IF(tblVendas[[#This Row],[regiao]]="", "Não informado", tblVendas[[#This Row],[regiao]])</f>
        <v>Centro-Oeste</v>
      </c>
      <c r="M238" t="str">
        <f>IF(tblVendas[[#This Row],[categoria]]="", "Outros", tblVendas[[#This Row],[categoria]])</f>
        <v>Vestuário</v>
      </c>
      <c r="N238">
        <f>IF(tblVendas[[#This Row],[valor_total]]&lt;0, MEDIAN(tblVendas[valor_total]), tblVendas[[#This Row],[valor_total]])</f>
        <v>1190</v>
      </c>
    </row>
    <row r="239" spans="1:14" x14ac:dyDescent="0.25">
      <c r="A239" s="1">
        <v>45617</v>
      </c>
      <c r="B239">
        <v>2024</v>
      </c>
      <c r="C239">
        <v>11</v>
      </c>
      <c r="D239">
        <v>4</v>
      </c>
      <c r="E239" t="s">
        <v>18</v>
      </c>
      <c r="F239" t="s">
        <v>23</v>
      </c>
      <c r="G239" t="s">
        <v>16</v>
      </c>
      <c r="H239" t="s">
        <v>29</v>
      </c>
      <c r="I239">
        <v>12</v>
      </c>
      <c r="J239">
        <v>140</v>
      </c>
      <c r="K239">
        <v>1680</v>
      </c>
      <c r="L239" t="str">
        <f>IF(tblVendas[[#This Row],[regiao]]="", "Não informado", tblVendas[[#This Row],[regiao]])</f>
        <v>Oeste</v>
      </c>
      <c r="M239" t="str">
        <f>IF(tblVendas[[#This Row],[categoria]]="", "Outros", tblVendas[[#This Row],[categoria]])</f>
        <v>Acessórios</v>
      </c>
      <c r="N239">
        <f>IF(tblVendas[[#This Row],[valor_total]]&lt;0, MEDIAN(tblVendas[valor_total]), tblVendas[[#This Row],[valor_total]])</f>
        <v>1680</v>
      </c>
    </row>
    <row r="240" spans="1:14" x14ac:dyDescent="0.25">
      <c r="A240" s="1">
        <v>45640</v>
      </c>
      <c r="B240">
        <v>2024</v>
      </c>
      <c r="C240">
        <v>12</v>
      </c>
      <c r="D240">
        <v>4</v>
      </c>
      <c r="E240" t="s">
        <v>18</v>
      </c>
      <c r="F240" t="s">
        <v>19</v>
      </c>
      <c r="G240" t="s">
        <v>24</v>
      </c>
      <c r="H240" t="s">
        <v>26</v>
      </c>
      <c r="I240">
        <v>15</v>
      </c>
      <c r="J240">
        <v>127</v>
      </c>
      <c r="K240">
        <v>1905</v>
      </c>
      <c r="L240" t="str">
        <f>IF(tblVendas[[#This Row],[regiao]]="", "Não informado", tblVendas[[#This Row],[regiao]])</f>
        <v>Sul</v>
      </c>
      <c r="M240" t="str">
        <f>IF(tblVendas[[#This Row],[categoria]]="", "Outros", tblVendas[[#This Row],[categoria]])</f>
        <v>Vestuário</v>
      </c>
      <c r="N240">
        <f>IF(tblVendas[[#This Row],[valor_total]]&lt;0, MEDIAN(tblVendas[valor_total]), tblVendas[[#This Row],[valor_total]])</f>
        <v>1905</v>
      </c>
    </row>
    <row r="241" spans="1:14" x14ac:dyDescent="0.25">
      <c r="A241" s="1">
        <v>45550</v>
      </c>
      <c r="B241">
        <v>2024</v>
      </c>
      <c r="C241">
        <v>9</v>
      </c>
      <c r="D241">
        <v>3</v>
      </c>
      <c r="E241" t="s">
        <v>25</v>
      </c>
      <c r="F241" t="s">
        <v>23</v>
      </c>
      <c r="G241" t="s">
        <v>16</v>
      </c>
      <c r="H241" t="s">
        <v>14</v>
      </c>
      <c r="I241">
        <v>8</v>
      </c>
      <c r="J241">
        <v>168</v>
      </c>
      <c r="K241">
        <v>1344</v>
      </c>
      <c r="L241" t="str">
        <f>IF(tblVendas[[#This Row],[regiao]]="", "Não informado", tblVendas[[#This Row],[regiao]])</f>
        <v>Norte</v>
      </c>
      <c r="M241" t="str">
        <f>IF(tblVendas[[#This Row],[categoria]]="", "Outros", tblVendas[[#This Row],[categoria]])</f>
        <v>Acessórios</v>
      </c>
      <c r="N241">
        <f>IF(tblVendas[[#This Row],[valor_total]]&lt;0, MEDIAN(tblVendas[valor_total]), tblVendas[[#This Row],[valor_total]])</f>
        <v>1344</v>
      </c>
    </row>
    <row r="242" spans="1:14" x14ac:dyDescent="0.25">
      <c r="A242" s="1">
        <v>45439</v>
      </c>
      <c r="B242">
        <v>2024</v>
      </c>
      <c r="C242">
        <v>5</v>
      </c>
      <c r="D242">
        <v>2</v>
      </c>
      <c r="E242" t="s">
        <v>15</v>
      </c>
      <c r="F242" t="s">
        <v>19</v>
      </c>
      <c r="G242" t="s">
        <v>24</v>
      </c>
      <c r="H242" t="s">
        <v>21</v>
      </c>
      <c r="I242">
        <v>6</v>
      </c>
      <c r="J242">
        <v>46</v>
      </c>
      <c r="K242">
        <v>276</v>
      </c>
      <c r="L242" t="str">
        <f>IF(tblVendas[[#This Row],[regiao]]="", "Não informado", tblVendas[[#This Row],[regiao]])</f>
        <v>Centro-Oeste</v>
      </c>
      <c r="M242" t="str">
        <f>IF(tblVendas[[#This Row],[categoria]]="", "Outros", tblVendas[[#This Row],[categoria]])</f>
        <v>Vestuário</v>
      </c>
      <c r="N242">
        <f>IF(tblVendas[[#This Row],[valor_total]]&lt;0, MEDIAN(tblVendas[valor_total]), tblVendas[[#This Row],[valor_total]])</f>
        <v>276</v>
      </c>
    </row>
    <row r="243" spans="1:14" x14ac:dyDescent="0.25">
      <c r="A243" s="1">
        <v>45543</v>
      </c>
      <c r="B243">
        <v>2024</v>
      </c>
      <c r="C243">
        <v>9</v>
      </c>
      <c r="D243">
        <v>3</v>
      </c>
      <c r="E243" t="s">
        <v>25</v>
      </c>
      <c r="F243" t="s">
        <v>12</v>
      </c>
      <c r="G243" t="s">
        <v>20</v>
      </c>
      <c r="H243" t="s">
        <v>29</v>
      </c>
      <c r="I243">
        <v>10</v>
      </c>
      <c r="J243">
        <v>128</v>
      </c>
      <c r="K243">
        <v>1280</v>
      </c>
      <c r="L243" t="str">
        <f>IF(tblVendas[[#This Row],[regiao]]="", "Não informado", tblVendas[[#This Row],[regiao]])</f>
        <v>Oeste</v>
      </c>
      <c r="M243" t="str">
        <f>IF(tblVendas[[#This Row],[categoria]]="", "Outros", tblVendas[[#This Row],[categoria]])</f>
        <v>Calçados</v>
      </c>
      <c r="N243">
        <f>IF(tblVendas[[#This Row],[valor_total]]&lt;0, MEDIAN(tblVendas[valor_total]), tblVendas[[#This Row],[valor_total]])</f>
        <v>1280</v>
      </c>
    </row>
    <row r="244" spans="1:14" x14ac:dyDescent="0.25">
      <c r="A244" s="1">
        <v>45637</v>
      </c>
      <c r="B244">
        <v>2024</v>
      </c>
      <c r="C244">
        <v>12</v>
      </c>
      <c r="D244">
        <v>4</v>
      </c>
      <c r="E244" t="s">
        <v>11</v>
      </c>
      <c r="F244" t="s">
        <v>12</v>
      </c>
      <c r="G244" t="s">
        <v>13</v>
      </c>
      <c r="H244" t="s">
        <v>29</v>
      </c>
      <c r="I244">
        <v>3</v>
      </c>
      <c r="J244">
        <v>111</v>
      </c>
      <c r="K244">
        <v>333</v>
      </c>
      <c r="L244" t="str">
        <f>IF(tblVendas[[#This Row],[regiao]]="", "Não informado", tblVendas[[#This Row],[regiao]])</f>
        <v>Oeste</v>
      </c>
      <c r="M244" t="str">
        <f>IF(tblVendas[[#This Row],[categoria]]="", "Outros", tblVendas[[#This Row],[categoria]])</f>
        <v>Calçados</v>
      </c>
      <c r="N244">
        <f>IF(tblVendas[[#This Row],[valor_total]]&lt;0, MEDIAN(tblVendas[valor_total]), tblVendas[[#This Row],[valor_total]])</f>
        <v>333</v>
      </c>
    </row>
    <row r="245" spans="1:14" x14ac:dyDescent="0.25">
      <c r="A245" s="1">
        <v>45438</v>
      </c>
      <c r="B245">
        <v>2024</v>
      </c>
      <c r="C245">
        <v>5</v>
      </c>
      <c r="D245">
        <v>2</v>
      </c>
      <c r="E245" t="s">
        <v>31</v>
      </c>
      <c r="F245" t="s">
        <v>19</v>
      </c>
      <c r="G245" t="s">
        <v>24</v>
      </c>
      <c r="H245" t="s">
        <v>26</v>
      </c>
      <c r="I245">
        <v>19</v>
      </c>
      <c r="J245">
        <v>133</v>
      </c>
      <c r="K245">
        <v>2527</v>
      </c>
      <c r="L245" t="str">
        <f>IF(tblVendas[[#This Row],[regiao]]="", "Não informado", tblVendas[[#This Row],[regiao]])</f>
        <v>Sul</v>
      </c>
      <c r="M245" t="str">
        <f>IF(tblVendas[[#This Row],[categoria]]="", "Outros", tblVendas[[#This Row],[categoria]])</f>
        <v>Vestuário</v>
      </c>
      <c r="N245">
        <f>IF(tblVendas[[#This Row],[valor_total]]&lt;0, MEDIAN(tblVendas[valor_total]), tblVendas[[#This Row],[valor_total]])</f>
        <v>2527</v>
      </c>
    </row>
    <row r="246" spans="1:14" x14ac:dyDescent="0.25">
      <c r="A246" s="1">
        <v>45439</v>
      </c>
      <c r="B246">
        <v>2024</v>
      </c>
      <c r="C246">
        <v>5</v>
      </c>
      <c r="D246">
        <v>2</v>
      </c>
      <c r="E246" t="s">
        <v>31</v>
      </c>
      <c r="F246" t="s">
        <v>23</v>
      </c>
      <c r="G246" t="s">
        <v>28</v>
      </c>
      <c r="H246" t="s">
        <v>21</v>
      </c>
      <c r="I246">
        <v>17</v>
      </c>
      <c r="J246">
        <v>181</v>
      </c>
      <c r="K246">
        <v>3077</v>
      </c>
      <c r="L246" t="str">
        <f>IF(tblVendas[[#This Row],[regiao]]="", "Não informado", tblVendas[[#This Row],[regiao]])</f>
        <v>Centro-Oeste</v>
      </c>
      <c r="M246" t="str">
        <f>IF(tblVendas[[#This Row],[categoria]]="", "Outros", tblVendas[[#This Row],[categoria]])</f>
        <v>Acessórios</v>
      </c>
      <c r="N246">
        <f>IF(tblVendas[[#This Row],[valor_total]]&lt;0, MEDIAN(tblVendas[valor_total]), tblVendas[[#This Row],[valor_total]])</f>
        <v>3077</v>
      </c>
    </row>
    <row r="247" spans="1:14" x14ac:dyDescent="0.25">
      <c r="A247" s="1">
        <v>45643</v>
      </c>
      <c r="B247">
        <v>2024</v>
      </c>
      <c r="C247">
        <v>12</v>
      </c>
      <c r="D247">
        <v>4</v>
      </c>
      <c r="E247" t="s">
        <v>15</v>
      </c>
      <c r="F247" t="s">
        <v>19</v>
      </c>
      <c r="G247" t="s">
        <v>28</v>
      </c>
      <c r="H247" t="s">
        <v>29</v>
      </c>
      <c r="I247">
        <v>7</v>
      </c>
      <c r="J247">
        <v>48</v>
      </c>
      <c r="K247">
        <v>336</v>
      </c>
      <c r="L247" t="str">
        <f>IF(tblVendas[[#This Row],[regiao]]="", "Não informado", tblVendas[[#This Row],[regiao]])</f>
        <v>Oeste</v>
      </c>
      <c r="M247" t="str">
        <f>IF(tblVendas[[#This Row],[categoria]]="", "Outros", tblVendas[[#This Row],[categoria]])</f>
        <v>Vestuário</v>
      </c>
      <c r="N247">
        <f>IF(tblVendas[[#This Row],[valor_total]]&lt;0, MEDIAN(tblVendas[valor_total]), tblVendas[[#This Row],[valor_total]])</f>
        <v>336</v>
      </c>
    </row>
    <row r="248" spans="1:14" x14ac:dyDescent="0.25">
      <c r="A248" s="1">
        <v>45490</v>
      </c>
      <c r="B248">
        <v>2024</v>
      </c>
      <c r="C248">
        <v>7</v>
      </c>
      <c r="D248">
        <v>3</v>
      </c>
      <c r="E248" t="s">
        <v>33</v>
      </c>
      <c r="F248" t="s">
        <v>23</v>
      </c>
      <c r="G248" t="s">
        <v>24</v>
      </c>
      <c r="H248" t="s">
        <v>14</v>
      </c>
      <c r="I248">
        <v>4</v>
      </c>
      <c r="J248">
        <v>194</v>
      </c>
      <c r="K248">
        <v>776</v>
      </c>
      <c r="L248" t="str">
        <f>IF(tblVendas[[#This Row],[regiao]]="", "Não informado", tblVendas[[#This Row],[regiao]])</f>
        <v>Norte</v>
      </c>
      <c r="M248" t="str">
        <f>IF(tblVendas[[#This Row],[categoria]]="", "Outros", tblVendas[[#This Row],[categoria]])</f>
        <v>Acessórios</v>
      </c>
      <c r="N248">
        <f>IF(tblVendas[[#This Row],[valor_total]]&lt;0, MEDIAN(tblVendas[valor_total]), tblVendas[[#This Row],[valor_total]])</f>
        <v>776</v>
      </c>
    </row>
    <row r="249" spans="1:14" x14ac:dyDescent="0.25">
      <c r="A249" s="1">
        <v>45599</v>
      </c>
      <c r="B249">
        <v>2024</v>
      </c>
      <c r="C249">
        <v>11</v>
      </c>
      <c r="D249">
        <v>4</v>
      </c>
      <c r="E249" t="s">
        <v>33</v>
      </c>
      <c r="F249" t="s">
        <v>12</v>
      </c>
      <c r="G249" t="s">
        <v>24</v>
      </c>
      <c r="H249" t="s">
        <v>26</v>
      </c>
      <c r="I249">
        <v>14</v>
      </c>
      <c r="J249">
        <v>114</v>
      </c>
      <c r="K249">
        <v>1596</v>
      </c>
      <c r="L249" t="str">
        <f>IF(tblVendas[[#This Row],[regiao]]="", "Não informado", tblVendas[[#This Row],[regiao]])</f>
        <v>Sul</v>
      </c>
      <c r="M249" t="str">
        <f>IF(tblVendas[[#This Row],[categoria]]="", "Outros", tblVendas[[#This Row],[categoria]])</f>
        <v>Calçados</v>
      </c>
      <c r="N249">
        <f>IF(tblVendas[[#This Row],[valor_total]]&lt;0, MEDIAN(tblVendas[valor_total]), tblVendas[[#This Row],[valor_total]])</f>
        <v>1596</v>
      </c>
    </row>
    <row r="250" spans="1:14" x14ac:dyDescent="0.25">
      <c r="A250" s="1">
        <v>45419</v>
      </c>
      <c r="B250">
        <v>2024</v>
      </c>
      <c r="C250">
        <v>5</v>
      </c>
      <c r="D250">
        <v>2</v>
      </c>
      <c r="E250" t="s">
        <v>27</v>
      </c>
      <c r="F250" t="s">
        <v>23</v>
      </c>
      <c r="G250" t="s">
        <v>24</v>
      </c>
      <c r="H250" t="s">
        <v>21</v>
      </c>
      <c r="I250">
        <v>15</v>
      </c>
      <c r="J250">
        <v>37</v>
      </c>
      <c r="K250">
        <v>555</v>
      </c>
      <c r="L250" t="str">
        <f>IF(tblVendas[[#This Row],[regiao]]="", "Não informado", tblVendas[[#This Row],[regiao]])</f>
        <v>Centro-Oeste</v>
      </c>
      <c r="M250" t="str">
        <f>IF(tblVendas[[#This Row],[categoria]]="", "Outros", tblVendas[[#This Row],[categoria]])</f>
        <v>Acessórios</v>
      </c>
      <c r="N250">
        <f>IF(tblVendas[[#This Row],[valor_total]]&lt;0, MEDIAN(tblVendas[valor_total]), tblVendas[[#This Row],[valor_total]])</f>
        <v>555</v>
      </c>
    </row>
    <row r="251" spans="1:14" x14ac:dyDescent="0.25">
      <c r="A251" s="1">
        <v>45330</v>
      </c>
      <c r="B251">
        <v>2024</v>
      </c>
      <c r="C251">
        <v>2</v>
      </c>
      <c r="D251">
        <v>1</v>
      </c>
      <c r="E251" t="s">
        <v>15</v>
      </c>
      <c r="F251" t="s">
        <v>12</v>
      </c>
      <c r="G251" t="s">
        <v>28</v>
      </c>
      <c r="H251" t="s">
        <v>26</v>
      </c>
      <c r="I251">
        <v>8</v>
      </c>
      <c r="J251">
        <v>57</v>
      </c>
      <c r="K251">
        <v>456</v>
      </c>
      <c r="L251" t="str">
        <f>IF(tblVendas[[#This Row],[regiao]]="", "Não informado", tblVendas[[#This Row],[regiao]])</f>
        <v>Sul</v>
      </c>
      <c r="M251" t="str">
        <f>IF(tblVendas[[#This Row],[categoria]]="", "Outros", tblVendas[[#This Row],[categoria]])</f>
        <v>Calçados</v>
      </c>
      <c r="N251">
        <f>IF(tblVendas[[#This Row],[valor_total]]&lt;0, MEDIAN(tblVendas[valor_total]), tblVendas[[#This Row],[valor_total]])</f>
        <v>456</v>
      </c>
    </row>
    <row r="252" spans="1:14" x14ac:dyDescent="0.25">
      <c r="A252" s="1">
        <v>45629</v>
      </c>
      <c r="B252">
        <v>2024</v>
      </c>
      <c r="C252">
        <v>12</v>
      </c>
      <c r="D252">
        <v>4</v>
      </c>
      <c r="E252" t="s">
        <v>18</v>
      </c>
      <c r="F252" t="s">
        <v>23</v>
      </c>
      <c r="G252" t="s">
        <v>28</v>
      </c>
      <c r="H252" t="s">
        <v>14</v>
      </c>
      <c r="I252">
        <v>15</v>
      </c>
      <c r="J252">
        <v>34</v>
      </c>
      <c r="K252">
        <v>510</v>
      </c>
      <c r="L252" t="str">
        <f>IF(tblVendas[[#This Row],[regiao]]="", "Não informado", tblVendas[[#This Row],[regiao]])</f>
        <v>Norte</v>
      </c>
      <c r="M252" t="str">
        <f>IF(tblVendas[[#This Row],[categoria]]="", "Outros", tblVendas[[#This Row],[categoria]])</f>
        <v>Acessórios</v>
      </c>
      <c r="N252">
        <f>IF(tblVendas[[#This Row],[valor_total]]&lt;0, MEDIAN(tblVendas[valor_total]), tblVendas[[#This Row],[valor_total]])</f>
        <v>510</v>
      </c>
    </row>
    <row r="253" spans="1:14" x14ac:dyDescent="0.25">
      <c r="A253" s="1">
        <v>45651</v>
      </c>
      <c r="B253">
        <v>2024</v>
      </c>
      <c r="C253">
        <v>12</v>
      </c>
      <c r="D253">
        <v>4</v>
      </c>
      <c r="E253" t="s">
        <v>33</v>
      </c>
      <c r="F253" t="s">
        <v>23</v>
      </c>
      <c r="G253" t="s">
        <v>24</v>
      </c>
      <c r="H253" t="s">
        <v>21</v>
      </c>
      <c r="I253">
        <v>14</v>
      </c>
      <c r="J253">
        <v>174</v>
      </c>
      <c r="K253">
        <v>2436</v>
      </c>
      <c r="L253" t="str">
        <f>IF(tblVendas[[#This Row],[regiao]]="", "Não informado", tblVendas[[#This Row],[regiao]])</f>
        <v>Centro-Oeste</v>
      </c>
      <c r="M253" t="str">
        <f>IF(tblVendas[[#This Row],[categoria]]="", "Outros", tblVendas[[#This Row],[categoria]])</f>
        <v>Acessórios</v>
      </c>
      <c r="N253">
        <f>IF(tblVendas[[#This Row],[valor_total]]&lt;0, MEDIAN(tblVendas[valor_total]), tblVendas[[#This Row],[valor_total]])</f>
        <v>2436</v>
      </c>
    </row>
    <row r="254" spans="1:14" x14ac:dyDescent="0.25">
      <c r="A254" s="1">
        <v>45420</v>
      </c>
      <c r="B254">
        <v>2024</v>
      </c>
      <c r="C254">
        <v>5</v>
      </c>
      <c r="D254">
        <v>2</v>
      </c>
      <c r="E254" t="s">
        <v>30</v>
      </c>
      <c r="F254" t="s">
        <v>23</v>
      </c>
      <c r="G254" t="s">
        <v>16</v>
      </c>
      <c r="H254" t="s">
        <v>26</v>
      </c>
      <c r="I254">
        <v>9</v>
      </c>
      <c r="J254">
        <v>130</v>
      </c>
      <c r="K254">
        <v>1170</v>
      </c>
      <c r="L254" t="str">
        <f>IF(tblVendas[[#This Row],[regiao]]="", "Não informado", tblVendas[[#This Row],[regiao]])</f>
        <v>Sul</v>
      </c>
      <c r="M254" t="str">
        <f>IF(tblVendas[[#This Row],[categoria]]="", "Outros", tblVendas[[#This Row],[categoria]])</f>
        <v>Acessórios</v>
      </c>
      <c r="N254">
        <f>IF(tblVendas[[#This Row],[valor_total]]&lt;0, MEDIAN(tblVendas[valor_total]), tblVendas[[#This Row],[valor_total]])</f>
        <v>1170</v>
      </c>
    </row>
    <row r="255" spans="1:14" x14ac:dyDescent="0.25">
      <c r="A255" s="1">
        <v>45558</v>
      </c>
      <c r="B255">
        <v>2024</v>
      </c>
      <c r="C255">
        <v>9</v>
      </c>
      <c r="D255">
        <v>3</v>
      </c>
      <c r="E255" t="s">
        <v>32</v>
      </c>
      <c r="F255" t="s">
        <v>19</v>
      </c>
      <c r="G255" t="s">
        <v>16</v>
      </c>
      <c r="H255" t="s">
        <v>17</v>
      </c>
      <c r="I255">
        <v>8</v>
      </c>
      <c r="J255">
        <v>193</v>
      </c>
      <c r="K255">
        <v>1544</v>
      </c>
      <c r="L255" t="str">
        <f>IF(tblVendas[[#This Row],[regiao]]="", "Não informado", tblVendas[[#This Row],[regiao]])</f>
        <v>Leste</v>
      </c>
      <c r="M255" t="str">
        <f>IF(tblVendas[[#This Row],[categoria]]="", "Outros", tblVendas[[#This Row],[categoria]])</f>
        <v>Vestuário</v>
      </c>
      <c r="N255">
        <f>IF(tblVendas[[#This Row],[valor_total]]&lt;0, MEDIAN(tblVendas[valor_total]), tblVendas[[#This Row],[valor_total]])</f>
        <v>1544</v>
      </c>
    </row>
    <row r="256" spans="1:14" x14ac:dyDescent="0.25">
      <c r="A256" s="1">
        <v>45442</v>
      </c>
      <c r="B256">
        <v>2024</v>
      </c>
      <c r="C256">
        <v>5</v>
      </c>
      <c r="D256">
        <v>2</v>
      </c>
      <c r="E256" t="s">
        <v>18</v>
      </c>
      <c r="F256" t="s">
        <v>19</v>
      </c>
      <c r="G256" t="s">
        <v>20</v>
      </c>
      <c r="H256" t="s">
        <v>14</v>
      </c>
      <c r="I256">
        <v>17</v>
      </c>
      <c r="J256">
        <v>147</v>
      </c>
      <c r="K256">
        <v>2499</v>
      </c>
      <c r="L256" t="str">
        <f>IF(tblVendas[[#This Row],[regiao]]="", "Não informado", tblVendas[[#This Row],[regiao]])</f>
        <v>Norte</v>
      </c>
      <c r="M256" t="str">
        <f>IF(tblVendas[[#This Row],[categoria]]="", "Outros", tblVendas[[#This Row],[categoria]])</f>
        <v>Vestuário</v>
      </c>
      <c r="N256">
        <f>IF(tblVendas[[#This Row],[valor_total]]&lt;0, MEDIAN(tblVendas[valor_total]), tblVendas[[#This Row],[valor_total]])</f>
        <v>2499</v>
      </c>
    </row>
    <row r="257" spans="1:14" x14ac:dyDescent="0.25">
      <c r="A257" s="1">
        <v>45589</v>
      </c>
      <c r="B257">
        <v>2024</v>
      </c>
      <c r="C257">
        <v>10</v>
      </c>
      <c r="D257">
        <v>4</v>
      </c>
      <c r="E257" t="s">
        <v>11</v>
      </c>
      <c r="F257" t="s">
        <v>12</v>
      </c>
      <c r="G257" t="s">
        <v>13</v>
      </c>
      <c r="H257" t="s">
        <v>14</v>
      </c>
      <c r="I257">
        <v>2</v>
      </c>
      <c r="J257">
        <v>176</v>
      </c>
      <c r="K257">
        <v>352</v>
      </c>
      <c r="L257" t="str">
        <f>IF(tblVendas[[#This Row],[regiao]]="", "Não informado", tblVendas[[#This Row],[regiao]])</f>
        <v>Norte</v>
      </c>
      <c r="M257" t="str">
        <f>IF(tblVendas[[#This Row],[categoria]]="", "Outros", tblVendas[[#This Row],[categoria]])</f>
        <v>Calçados</v>
      </c>
      <c r="N257">
        <f>IF(tblVendas[[#This Row],[valor_total]]&lt;0, MEDIAN(tblVendas[valor_total]), tblVendas[[#This Row],[valor_total]])</f>
        <v>352</v>
      </c>
    </row>
    <row r="258" spans="1:14" x14ac:dyDescent="0.25">
      <c r="A258" s="1">
        <v>45390</v>
      </c>
      <c r="B258">
        <v>2024</v>
      </c>
      <c r="C258">
        <v>4</v>
      </c>
      <c r="D258">
        <v>2</v>
      </c>
      <c r="E258" t="s">
        <v>30</v>
      </c>
      <c r="F258" t="s">
        <v>12</v>
      </c>
      <c r="G258" t="s">
        <v>16</v>
      </c>
      <c r="H258" t="s">
        <v>14</v>
      </c>
      <c r="I258">
        <v>3</v>
      </c>
      <c r="J258">
        <v>93</v>
      </c>
      <c r="K258">
        <v>279</v>
      </c>
      <c r="L258" t="str">
        <f>IF(tblVendas[[#This Row],[regiao]]="", "Não informado", tblVendas[[#This Row],[regiao]])</f>
        <v>Norte</v>
      </c>
      <c r="M258" t="str">
        <f>IF(tblVendas[[#This Row],[categoria]]="", "Outros", tblVendas[[#This Row],[categoria]])</f>
        <v>Calçados</v>
      </c>
      <c r="N258">
        <f>IF(tblVendas[[#This Row],[valor_total]]&lt;0, MEDIAN(tblVendas[valor_total]), tblVendas[[#This Row],[valor_total]])</f>
        <v>279</v>
      </c>
    </row>
    <row r="259" spans="1:14" x14ac:dyDescent="0.25">
      <c r="A259" s="1">
        <v>45554</v>
      </c>
      <c r="B259">
        <v>2024</v>
      </c>
      <c r="C259">
        <v>9</v>
      </c>
      <c r="D259">
        <v>3</v>
      </c>
      <c r="E259" t="s">
        <v>30</v>
      </c>
      <c r="F259" t="s">
        <v>19</v>
      </c>
      <c r="G259" t="s">
        <v>28</v>
      </c>
      <c r="H259" t="s">
        <v>17</v>
      </c>
      <c r="I259">
        <v>8</v>
      </c>
      <c r="J259">
        <v>120</v>
      </c>
      <c r="K259">
        <v>960</v>
      </c>
      <c r="L259" t="str">
        <f>IF(tblVendas[[#This Row],[regiao]]="", "Não informado", tblVendas[[#This Row],[regiao]])</f>
        <v>Leste</v>
      </c>
      <c r="M259" t="str">
        <f>IF(tblVendas[[#This Row],[categoria]]="", "Outros", tblVendas[[#This Row],[categoria]])</f>
        <v>Vestuário</v>
      </c>
      <c r="N259">
        <f>IF(tblVendas[[#This Row],[valor_total]]&lt;0, MEDIAN(tblVendas[valor_total]), tblVendas[[#This Row],[valor_total]])</f>
        <v>960</v>
      </c>
    </row>
    <row r="260" spans="1:14" x14ac:dyDescent="0.25">
      <c r="A260" s="1">
        <v>45543</v>
      </c>
      <c r="B260">
        <v>2024</v>
      </c>
      <c r="C260">
        <v>9</v>
      </c>
      <c r="D260">
        <v>3</v>
      </c>
      <c r="E260" t="s">
        <v>15</v>
      </c>
      <c r="F260" t="s">
        <v>12</v>
      </c>
      <c r="G260" t="s">
        <v>16</v>
      </c>
      <c r="H260" t="s">
        <v>17</v>
      </c>
      <c r="I260">
        <v>12</v>
      </c>
      <c r="J260">
        <v>146</v>
      </c>
      <c r="K260">
        <v>1752</v>
      </c>
      <c r="L260" t="str">
        <f>IF(tblVendas[[#This Row],[regiao]]="", "Não informado", tblVendas[[#This Row],[regiao]])</f>
        <v>Leste</v>
      </c>
      <c r="M260" t="str">
        <f>IF(tblVendas[[#This Row],[categoria]]="", "Outros", tblVendas[[#This Row],[categoria]])</f>
        <v>Calçados</v>
      </c>
      <c r="N260">
        <f>IF(tblVendas[[#This Row],[valor_total]]&lt;0, MEDIAN(tblVendas[valor_total]), tblVendas[[#This Row],[valor_total]])</f>
        <v>1752</v>
      </c>
    </row>
    <row r="261" spans="1:14" x14ac:dyDescent="0.25">
      <c r="A261" s="1">
        <v>45435</v>
      </c>
      <c r="B261">
        <v>2024</v>
      </c>
      <c r="C261">
        <v>5</v>
      </c>
      <c r="D261">
        <v>2</v>
      </c>
      <c r="E261" t="s">
        <v>27</v>
      </c>
      <c r="F261" t="s">
        <v>19</v>
      </c>
      <c r="G261" t="s">
        <v>20</v>
      </c>
      <c r="H261" t="s">
        <v>29</v>
      </c>
      <c r="I261">
        <v>1</v>
      </c>
      <c r="J261">
        <v>127</v>
      </c>
      <c r="K261">
        <v>127</v>
      </c>
      <c r="L261" t="str">
        <f>IF(tblVendas[[#This Row],[regiao]]="", "Não informado", tblVendas[[#This Row],[regiao]])</f>
        <v>Oeste</v>
      </c>
      <c r="M261" t="str">
        <f>IF(tblVendas[[#This Row],[categoria]]="", "Outros", tblVendas[[#This Row],[categoria]])</f>
        <v>Vestuário</v>
      </c>
      <c r="N261">
        <f>IF(tblVendas[[#This Row],[valor_total]]&lt;0, MEDIAN(tblVendas[valor_total]), tblVendas[[#This Row],[valor_total]])</f>
        <v>127</v>
      </c>
    </row>
    <row r="262" spans="1:14" x14ac:dyDescent="0.25">
      <c r="A262" s="1">
        <v>45637</v>
      </c>
      <c r="B262">
        <v>2024</v>
      </c>
      <c r="C262">
        <v>12</v>
      </c>
      <c r="D262">
        <v>4</v>
      </c>
      <c r="E262" t="s">
        <v>11</v>
      </c>
      <c r="F262" t="s">
        <v>23</v>
      </c>
      <c r="G262" t="s">
        <v>20</v>
      </c>
      <c r="H262" t="s">
        <v>26</v>
      </c>
      <c r="I262">
        <v>10</v>
      </c>
      <c r="J262">
        <v>40</v>
      </c>
      <c r="K262">
        <v>400</v>
      </c>
      <c r="L262" t="str">
        <f>IF(tblVendas[[#This Row],[regiao]]="", "Não informado", tblVendas[[#This Row],[regiao]])</f>
        <v>Sul</v>
      </c>
      <c r="M262" t="str">
        <f>IF(tblVendas[[#This Row],[categoria]]="", "Outros", tblVendas[[#This Row],[categoria]])</f>
        <v>Acessórios</v>
      </c>
      <c r="N262">
        <f>IF(tblVendas[[#This Row],[valor_total]]&lt;0, MEDIAN(tblVendas[valor_total]), tblVendas[[#This Row],[valor_total]])</f>
        <v>400</v>
      </c>
    </row>
    <row r="263" spans="1:14" x14ac:dyDescent="0.25">
      <c r="A263" s="1">
        <v>45403</v>
      </c>
      <c r="B263">
        <v>2024</v>
      </c>
      <c r="C263">
        <v>4</v>
      </c>
      <c r="D263">
        <v>2</v>
      </c>
      <c r="E263" t="s">
        <v>33</v>
      </c>
      <c r="F263" t="s">
        <v>12</v>
      </c>
      <c r="G263" t="s">
        <v>13</v>
      </c>
      <c r="H263" t="s">
        <v>29</v>
      </c>
      <c r="I263">
        <v>3</v>
      </c>
      <c r="J263">
        <v>83</v>
      </c>
      <c r="K263">
        <v>249</v>
      </c>
      <c r="L263" t="str">
        <f>IF(tblVendas[[#This Row],[regiao]]="", "Não informado", tblVendas[[#This Row],[regiao]])</f>
        <v>Oeste</v>
      </c>
      <c r="M263" t="str">
        <f>IF(tblVendas[[#This Row],[categoria]]="", "Outros", tblVendas[[#This Row],[categoria]])</f>
        <v>Calçados</v>
      </c>
      <c r="N263">
        <f>IF(tblVendas[[#This Row],[valor_total]]&lt;0, MEDIAN(tblVendas[valor_total]), tblVendas[[#This Row],[valor_total]])</f>
        <v>249</v>
      </c>
    </row>
    <row r="264" spans="1:14" x14ac:dyDescent="0.25">
      <c r="A264" s="1">
        <v>45351</v>
      </c>
      <c r="B264">
        <v>2024</v>
      </c>
      <c r="C264">
        <v>2</v>
      </c>
      <c r="D264">
        <v>1</v>
      </c>
      <c r="E264" t="s">
        <v>15</v>
      </c>
      <c r="F264" t="s">
        <v>12</v>
      </c>
      <c r="G264" t="s">
        <v>16</v>
      </c>
      <c r="H264" t="s">
        <v>26</v>
      </c>
      <c r="I264">
        <v>6</v>
      </c>
      <c r="J264">
        <v>76</v>
      </c>
      <c r="K264">
        <v>456</v>
      </c>
      <c r="L264" t="str">
        <f>IF(tblVendas[[#This Row],[regiao]]="", "Não informado", tblVendas[[#This Row],[regiao]])</f>
        <v>Sul</v>
      </c>
      <c r="M264" t="str">
        <f>IF(tblVendas[[#This Row],[categoria]]="", "Outros", tblVendas[[#This Row],[categoria]])</f>
        <v>Calçados</v>
      </c>
      <c r="N264">
        <f>IF(tblVendas[[#This Row],[valor_total]]&lt;0, MEDIAN(tblVendas[valor_total]), tblVendas[[#This Row],[valor_total]])</f>
        <v>456</v>
      </c>
    </row>
    <row r="265" spans="1:14" x14ac:dyDescent="0.25">
      <c r="A265" s="1">
        <v>45293</v>
      </c>
      <c r="B265">
        <v>2024</v>
      </c>
      <c r="C265">
        <v>1</v>
      </c>
      <c r="D265">
        <v>1</v>
      </c>
      <c r="E265" t="s">
        <v>33</v>
      </c>
      <c r="F265" t="s">
        <v>19</v>
      </c>
      <c r="G265" t="s">
        <v>28</v>
      </c>
      <c r="H265" t="s">
        <v>17</v>
      </c>
      <c r="I265">
        <v>7</v>
      </c>
      <c r="J265">
        <v>169</v>
      </c>
      <c r="K265">
        <v>1183</v>
      </c>
      <c r="L265" t="str">
        <f>IF(tblVendas[[#This Row],[regiao]]="", "Não informado", tblVendas[[#This Row],[regiao]])</f>
        <v>Leste</v>
      </c>
      <c r="M265" t="str">
        <f>IF(tblVendas[[#This Row],[categoria]]="", "Outros", tblVendas[[#This Row],[categoria]])</f>
        <v>Vestuário</v>
      </c>
      <c r="N265">
        <f>IF(tblVendas[[#This Row],[valor_total]]&lt;0, MEDIAN(tblVendas[valor_total]), tblVendas[[#This Row],[valor_total]])</f>
        <v>1183</v>
      </c>
    </row>
    <row r="266" spans="1:14" x14ac:dyDescent="0.25">
      <c r="A266" s="1">
        <v>45595</v>
      </c>
      <c r="B266">
        <v>2024</v>
      </c>
      <c r="C266">
        <v>10</v>
      </c>
      <c r="D266">
        <v>4</v>
      </c>
      <c r="E266" t="s">
        <v>15</v>
      </c>
      <c r="F266" t="s">
        <v>12</v>
      </c>
      <c r="G266" t="s">
        <v>28</v>
      </c>
      <c r="H266" t="s">
        <v>17</v>
      </c>
      <c r="I266">
        <v>18</v>
      </c>
      <c r="J266">
        <v>178</v>
      </c>
      <c r="K266">
        <v>3204</v>
      </c>
      <c r="L266" t="str">
        <f>IF(tblVendas[[#This Row],[regiao]]="", "Não informado", tblVendas[[#This Row],[regiao]])</f>
        <v>Leste</v>
      </c>
      <c r="M266" t="str">
        <f>IF(tblVendas[[#This Row],[categoria]]="", "Outros", tblVendas[[#This Row],[categoria]])</f>
        <v>Calçados</v>
      </c>
      <c r="N266">
        <f>IF(tblVendas[[#This Row],[valor_total]]&lt;0, MEDIAN(tblVendas[valor_total]), tblVendas[[#This Row],[valor_total]])</f>
        <v>3204</v>
      </c>
    </row>
    <row r="267" spans="1:14" x14ac:dyDescent="0.25">
      <c r="A267" s="1">
        <v>45545</v>
      </c>
      <c r="B267">
        <v>2024</v>
      </c>
      <c r="C267">
        <v>9</v>
      </c>
      <c r="D267">
        <v>3</v>
      </c>
      <c r="E267" t="s">
        <v>15</v>
      </c>
      <c r="F267" t="s">
        <v>12</v>
      </c>
      <c r="G267" t="s">
        <v>24</v>
      </c>
      <c r="H267" t="s">
        <v>29</v>
      </c>
      <c r="I267">
        <v>11</v>
      </c>
      <c r="J267">
        <v>168</v>
      </c>
      <c r="K267">
        <v>1848</v>
      </c>
      <c r="L267" t="str">
        <f>IF(tblVendas[[#This Row],[regiao]]="", "Não informado", tblVendas[[#This Row],[regiao]])</f>
        <v>Oeste</v>
      </c>
      <c r="M267" t="str">
        <f>IF(tblVendas[[#This Row],[categoria]]="", "Outros", tblVendas[[#This Row],[categoria]])</f>
        <v>Calçados</v>
      </c>
      <c r="N267">
        <f>IF(tblVendas[[#This Row],[valor_total]]&lt;0, MEDIAN(tblVendas[valor_total]), tblVendas[[#This Row],[valor_total]])</f>
        <v>1848</v>
      </c>
    </row>
    <row r="268" spans="1:14" x14ac:dyDescent="0.25">
      <c r="A268" s="1">
        <v>45431</v>
      </c>
      <c r="B268">
        <v>2024</v>
      </c>
      <c r="C268">
        <v>5</v>
      </c>
      <c r="D268">
        <v>2</v>
      </c>
      <c r="E268" t="s">
        <v>15</v>
      </c>
      <c r="F268" t="s">
        <v>23</v>
      </c>
      <c r="G268" t="s">
        <v>28</v>
      </c>
      <c r="H268" t="s">
        <v>21</v>
      </c>
      <c r="I268">
        <v>19</v>
      </c>
      <c r="J268">
        <v>34</v>
      </c>
      <c r="K268">
        <v>646</v>
      </c>
      <c r="L268" t="str">
        <f>IF(tblVendas[[#This Row],[regiao]]="", "Não informado", tblVendas[[#This Row],[regiao]])</f>
        <v>Centro-Oeste</v>
      </c>
      <c r="M268" t="str">
        <f>IF(tblVendas[[#This Row],[categoria]]="", "Outros", tblVendas[[#This Row],[categoria]])</f>
        <v>Acessórios</v>
      </c>
      <c r="N268">
        <f>IF(tblVendas[[#This Row],[valor_total]]&lt;0, MEDIAN(tblVendas[valor_total]), tblVendas[[#This Row],[valor_total]])</f>
        <v>646</v>
      </c>
    </row>
    <row r="269" spans="1:14" x14ac:dyDescent="0.25">
      <c r="A269" s="1">
        <v>45328</v>
      </c>
      <c r="B269">
        <v>2024</v>
      </c>
      <c r="C269">
        <v>2</v>
      </c>
      <c r="D269">
        <v>1</v>
      </c>
      <c r="E269" t="s">
        <v>27</v>
      </c>
      <c r="F269" t="s">
        <v>12</v>
      </c>
      <c r="G269" t="s">
        <v>13</v>
      </c>
      <c r="H269" t="s">
        <v>29</v>
      </c>
      <c r="I269">
        <v>5</v>
      </c>
      <c r="J269">
        <v>49</v>
      </c>
      <c r="K269">
        <v>245</v>
      </c>
      <c r="L269" t="str">
        <f>IF(tblVendas[[#This Row],[regiao]]="", "Não informado", tblVendas[[#This Row],[regiao]])</f>
        <v>Oeste</v>
      </c>
      <c r="M269" t="str">
        <f>IF(tblVendas[[#This Row],[categoria]]="", "Outros", tblVendas[[#This Row],[categoria]])</f>
        <v>Calçados</v>
      </c>
      <c r="N269">
        <f>IF(tblVendas[[#This Row],[valor_total]]&lt;0, MEDIAN(tblVendas[valor_total]), tblVendas[[#This Row],[valor_total]])</f>
        <v>245</v>
      </c>
    </row>
    <row r="270" spans="1:14" x14ac:dyDescent="0.25">
      <c r="A270" s="1">
        <v>45451</v>
      </c>
      <c r="B270">
        <v>2024</v>
      </c>
      <c r="C270">
        <v>6</v>
      </c>
      <c r="D270">
        <v>2</v>
      </c>
      <c r="E270" t="s">
        <v>15</v>
      </c>
      <c r="F270" t="s">
        <v>23</v>
      </c>
      <c r="G270" t="s">
        <v>13</v>
      </c>
      <c r="H270" t="s">
        <v>26</v>
      </c>
      <c r="I270">
        <v>19</v>
      </c>
      <c r="J270">
        <v>198</v>
      </c>
      <c r="K270">
        <v>3762</v>
      </c>
      <c r="L270" t="str">
        <f>IF(tblVendas[[#This Row],[regiao]]="", "Não informado", tblVendas[[#This Row],[regiao]])</f>
        <v>Sul</v>
      </c>
      <c r="M270" t="str">
        <f>IF(tblVendas[[#This Row],[categoria]]="", "Outros", tblVendas[[#This Row],[categoria]])</f>
        <v>Acessórios</v>
      </c>
      <c r="N270">
        <f>IF(tblVendas[[#This Row],[valor_total]]&lt;0, MEDIAN(tblVendas[valor_total]), tblVendas[[#This Row],[valor_total]])</f>
        <v>3762</v>
      </c>
    </row>
    <row r="271" spans="1:14" x14ac:dyDescent="0.25">
      <c r="A271" s="1">
        <v>45300</v>
      </c>
      <c r="B271">
        <v>2024</v>
      </c>
      <c r="C271">
        <v>1</v>
      </c>
      <c r="D271">
        <v>1</v>
      </c>
      <c r="E271" t="s">
        <v>22</v>
      </c>
      <c r="F271" t="s">
        <v>19</v>
      </c>
      <c r="G271" t="s">
        <v>28</v>
      </c>
      <c r="H271" t="s">
        <v>29</v>
      </c>
      <c r="I271">
        <v>11</v>
      </c>
      <c r="J271">
        <v>75</v>
      </c>
      <c r="K271">
        <v>825</v>
      </c>
      <c r="L271" t="str">
        <f>IF(tblVendas[[#This Row],[regiao]]="", "Não informado", tblVendas[[#This Row],[regiao]])</f>
        <v>Oeste</v>
      </c>
      <c r="M271" t="str">
        <f>IF(tblVendas[[#This Row],[categoria]]="", "Outros", tblVendas[[#This Row],[categoria]])</f>
        <v>Vestuário</v>
      </c>
      <c r="N271">
        <f>IF(tblVendas[[#This Row],[valor_total]]&lt;0, MEDIAN(tblVendas[valor_total]), tblVendas[[#This Row],[valor_total]])</f>
        <v>825</v>
      </c>
    </row>
    <row r="272" spans="1:14" x14ac:dyDescent="0.25">
      <c r="A272" s="1">
        <v>45524</v>
      </c>
      <c r="B272">
        <v>2024</v>
      </c>
      <c r="C272">
        <v>8</v>
      </c>
      <c r="D272">
        <v>3</v>
      </c>
      <c r="E272" t="s">
        <v>32</v>
      </c>
      <c r="F272" t="s">
        <v>12</v>
      </c>
      <c r="G272" t="s">
        <v>28</v>
      </c>
      <c r="H272" t="s">
        <v>14</v>
      </c>
      <c r="I272">
        <v>12</v>
      </c>
      <c r="J272">
        <v>41</v>
      </c>
      <c r="K272">
        <v>492</v>
      </c>
      <c r="L272" t="str">
        <f>IF(tblVendas[[#This Row],[regiao]]="", "Não informado", tblVendas[[#This Row],[regiao]])</f>
        <v>Norte</v>
      </c>
      <c r="M272" t="str">
        <f>IF(tblVendas[[#This Row],[categoria]]="", "Outros", tblVendas[[#This Row],[categoria]])</f>
        <v>Calçados</v>
      </c>
      <c r="N272">
        <f>IF(tblVendas[[#This Row],[valor_total]]&lt;0, MEDIAN(tblVendas[valor_total]), tblVendas[[#This Row],[valor_total]])</f>
        <v>492</v>
      </c>
    </row>
    <row r="273" spans="1:14" x14ac:dyDescent="0.25">
      <c r="A273" s="1">
        <v>45390</v>
      </c>
      <c r="B273">
        <v>2024</v>
      </c>
      <c r="C273">
        <v>4</v>
      </c>
      <c r="D273">
        <v>2</v>
      </c>
      <c r="E273" t="s">
        <v>33</v>
      </c>
      <c r="F273" t="s">
        <v>23</v>
      </c>
      <c r="G273" t="s">
        <v>24</v>
      </c>
      <c r="H273" t="s">
        <v>26</v>
      </c>
      <c r="I273">
        <v>10</v>
      </c>
      <c r="J273">
        <v>99</v>
      </c>
      <c r="K273">
        <v>990</v>
      </c>
      <c r="L273" t="str">
        <f>IF(tblVendas[[#This Row],[regiao]]="", "Não informado", tblVendas[[#This Row],[regiao]])</f>
        <v>Sul</v>
      </c>
      <c r="M273" t="str">
        <f>IF(tblVendas[[#This Row],[categoria]]="", "Outros", tblVendas[[#This Row],[categoria]])</f>
        <v>Acessórios</v>
      </c>
      <c r="N273">
        <f>IF(tblVendas[[#This Row],[valor_total]]&lt;0, MEDIAN(tblVendas[valor_total]), tblVendas[[#This Row],[valor_total]])</f>
        <v>990</v>
      </c>
    </row>
    <row r="274" spans="1:14" x14ac:dyDescent="0.25">
      <c r="A274" s="1">
        <v>45438</v>
      </c>
      <c r="B274">
        <v>2024</v>
      </c>
      <c r="C274">
        <v>5</v>
      </c>
      <c r="D274">
        <v>2</v>
      </c>
      <c r="E274" t="s">
        <v>18</v>
      </c>
      <c r="F274" t="s">
        <v>19</v>
      </c>
      <c r="G274" t="s">
        <v>28</v>
      </c>
      <c r="H274" t="s">
        <v>26</v>
      </c>
      <c r="I274">
        <v>8</v>
      </c>
      <c r="J274">
        <v>46</v>
      </c>
      <c r="K274">
        <v>368</v>
      </c>
      <c r="L274" t="str">
        <f>IF(tblVendas[[#This Row],[regiao]]="", "Não informado", tblVendas[[#This Row],[regiao]])</f>
        <v>Sul</v>
      </c>
      <c r="M274" t="str">
        <f>IF(tblVendas[[#This Row],[categoria]]="", "Outros", tblVendas[[#This Row],[categoria]])</f>
        <v>Vestuário</v>
      </c>
      <c r="N274">
        <f>IF(tblVendas[[#This Row],[valor_total]]&lt;0, MEDIAN(tblVendas[valor_total]), tblVendas[[#This Row],[valor_total]])</f>
        <v>368</v>
      </c>
    </row>
    <row r="275" spans="1:14" x14ac:dyDescent="0.25">
      <c r="A275" s="1">
        <v>45595</v>
      </c>
      <c r="B275">
        <v>2024</v>
      </c>
      <c r="C275">
        <v>10</v>
      </c>
      <c r="D275">
        <v>4</v>
      </c>
      <c r="E275" t="s">
        <v>25</v>
      </c>
      <c r="F275" t="s">
        <v>12</v>
      </c>
      <c r="G275" t="s">
        <v>24</v>
      </c>
      <c r="H275" t="s">
        <v>21</v>
      </c>
      <c r="I275">
        <v>9</v>
      </c>
      <c r="J275">
        <v>144</v>
      </c>
      <c r="K275">
        <v>1296</v>
      </c>
      <c r="L275" t="str">
        <f>IF(tblVendas[[#This Row],[regiao]]="", "Não informado", tblVendas[[#This Row],[regiao]])</f>
        <v>Centro-Oeste</v>
      </c>
      <c r="M275" t="str">
        <f>IF(tblVendas[[#This Row],[categoria]]="", "Outros", tblVendas[[#This Row],[categoria]])</f>
        <v>Calçados</v>
      </c>
      <c r="N275">
        <f>IF(tblVendas[[#This Row],[valor_total]]&lt;0, MEDIAN(tblVendas[valor_total]), tblVendas[[#This Row],[valor_total]])</f>
        <v>1296</v>
      </c>
    </row>
    <row r="276" spans="1:14" x14ac:dyDescent="0.25">
      <c r="A276" s="1">
        <v>45499</v>
      </c>
      <c r="B276">
        <v>2024</v>
      </c>
      <c r="C276">
        <v>7</v>
      </c>
      <c r="D276">
        <v>3</v>
      </c>
      <c r="E276" t="s">
        <v>11</v>
      </c>
      <c r="F276" t="s">
        <v>19</v>
      </c>
      <c r="G276" t="s">
        <v>24</v>
      </c>
      <c r="H276" t="s">
        <v>17</v>
      </c>
      <c r="I276">
        <v>4</v>
      </c>
      <c r="J276">
        <v>176</v>
      </c>
      <c r="K276">
        <v>704</v>
      </c>
      <c r="L276" t="str">
        <f>IF(tblVendas[[#This Row],[regiao]]="", "Não informado", tblVendas[[#This Row],[regiao]])</f>
        <v>Leste</v>
      </c>
      <c r="M276" t="str">
        <f>IF(tblVendas[[#This Row],[categoria]]="", "Outros", tblVendas[[#This Row],[categoria]])</f>
        <v>Vestuário</v>
      </c>
      <c r="N276">
        <f>IF(tblVendas[[#This Row],[valor_total]]&lt;0, MEDIAN(tblVendas[valor_total]), tblVendas[[#This Row],[valor_total]])</f>
        <v>704</v>
      </c>
    </row>
    <row r="277" spans="1:14" x14ac:dyDescent="0.25">
      <c r="A277" s="1">
        <v>45422</v>
      </c>
      <c r="B277">
        <v>2024</v>
      </c>
      <c r="C277">
        <v>5</v>
      </c>
      <c r="D277">
        <v>2</v>
      </c>
      <c r="E277" t="s">
        <v>31</v>
      </c>
      <c r="F277" t="s">
        <v>12</v>
      </c>
      <c r="G277" t="s">
        <v>28</v>
      </c>
      <c r="H277" t="s">
        <v>26</v>
      </c>
      <c r="I277">
        <v>5</v>
      </c>
      <c r="J277">
        <v>183</v>
      </c>
      <c r="K277">
        <v>915</v>
      </c>
      <c r="L277" t="str">
        <f>IF(tblVendas[[#This Row],[regiao]]="", "Não informado", tblVendas[[#This Row],[regiao]])</f>
        <v>Sul</v>
      </c>
      <c r="M277" t="str">
        <f>IF(tblVendas[[#This Row],[categoria]]="", "Outros", tblVendas[[#This Row],[categoria]])</f>
        <v>Calçados</v>
      </c>
      <c r="N277">
        <f>IF(tblVendas[[#This Row],[valor_total]]&lt;0, MEDIAN(tblVendas[valor_total]), tblVendas[[#This Row],[valor_total]])</f>
        <v>915</v>
      </c>
    </row>
    <row r="278" spans="1:14" x14ac:dyDescent="0.25">
      <c r="A278" s="1">
        <v>45443</v>
      </c>
      <c r="B278">
        <v>2024</v>
      </c>
      <c r="C278">
        <v>5</v>
      </c>
      <c r="D278">
        <v>2</v>
      </c>
      <c r="E278" t="s">
        <v>27</v>
      </c>
      <c r="F278" t="s">
        <v>19</v>
      </c>
      <c r="G278" t="s">
        <v>20</v>
      </c>
      <c r="H278" t="s">
        <v>17</v>
      </c>
      <c r="I278">
        <v>8</v>
      </c>
      <c r="J278">
        <v>77</v>
      </c>
      <c r="K278">
        <v>616</v>
      </c>
      <c r="L278" t="str">
        <f>IF(tblVendas[[#This Row],[regiao]]="", "Não informado", tblVendas[[#This Row],[regiao]])</f>
        <v>Leste</v>
      </c>
      <c r="M278" t="str">
        <f>IF(tblVendas[[#This Row],[categoria]]="", "Outros", tblVendas[[#This Row],[categoria]])</f>
        <v>Vestuário</v>
      </c>
      <c r="N278">
        <f>IF(tblVendas[[#This Row],[valor_total]]&lt;0, MEDIAN(tblVendas[valor_total]), tblVendas[[#This Row],[valor_total]])</f>
        <v>616</v>
      </c>
    </row>
    <row r="279" spans="1:14" x14ac:dyDescent="0.25">
      <c r="A279" s="1">
        <v>45345</v>
      </c>
      <c r="B279">
        <v>2024</v>
      </c>
      <c r="C279">
        <v>2</v>
      </c>
      <c r="D279">
        <v>1</v>
      </c>
      <c r="E279" t="s">
        <v>18</v>
      </c>
      <c r="F279" t="s">
        <v>19</v>
      </c>
      <c r="G279" t="s">
        <v>20</v>
      </c>
      <c r="H279" t="s">
        <v>29</v>
      </c>
      <c r="I279">
        <v>9</v>
      </c>
      <c r="J279">
        <v>137</v>
      </c>
      <c r="K279">
        <v>1233</v>
      </c>
      <c r="L279" t="str">
        <f>IF(tblVendas[[#This Row],[regiao]]="", "Não informado", tblVendas[[#This Row],[regiao]])</f>
        <v>Oeste</v>
      </c>
      <c r="M279" t="str">
        <f>IF(tblVendas[[#This Row],[categoria]]="", "Outros", tblVendas[[#This Row],[categoria]])</f>
        <v>Vestuário</v>
      </c>
      <c r="N279">
        <f>IF(tblVendas[[#This Row],[valor_total]]&lt;0, MEDIAN(tblVendas[valor_total]), tblVendas[[#This Row],[valor_total]])</f>
        <v>1233</v>
      </c>
    </row>
    <row r="280" spans="1:14" x14ac:dyDescent="0.25">
      <c r="A280" s="1">
        <v>45411</v>
      </c>
      <c r="B280">
        <v>2024</v>
      </c>
      <c r="C280">
        <v>4</v>
      </c>
      <c r="D280">
        <v>2</v>
      </c>
      <c r="E280" t="s">
        <v>30</v>
      </c>
      <c r="F280" t="s">
        <v>23</v>
      </c>
      <c r="G280" t="s">
        <v>24</v>
      </c>
      <c r="H280" t="s">
        <v>14</v>
      </c>
      <c r="I280">
        <v>15</v>
      </c>
      <c r="J280">
        <v>81</v>
      </c>
      <c r="K280">
        <v>1215</v>
      </c>
      <c r="L280" t="str">
        <f>IF(tblVendas[[#This Row],[regiao]]="", "Não informado", tblVendas[[#This Row],[regiao]])</f>
        <v>Norte</v>
      </c>
      <c r="M280" t="str">
        <f>IF(tblVendas[[#This Row],[categoria]]="", "Outros", tblVendas[[#This Row],[categoria]])</f>
        <v>Acessórios</v>
      </c>
      <c r="N280">
        <f>IF(tblVendas[[#This Row],[valor_total]]&lt;0, MEDIAN(tblVendas[valor_total]), tblVendas[[#This Row],[valor_total]])</f>
        <v>1215</v>
      </c>
    </row>
    <row r="281" spans="1:14" x14ac:dyDescent="0.25">
      <c r="A281" s="1">
        <v>45452</v>
      </c>
      <c r="B281">
        <v>2024</v>
      </c>
      <c r="C281">
        <v>6</v>
      </c>
      <c r="D281">
        <v>2</v>
      </c>
      <c r="E281" t="s">
        <v>22</v>
      </c>
      <c r="F281" t="s">
        <v>19</v>
      </c>
      <c r="G281" t="s">
        <v>28</v>
      </c>
      <c r="H281" t="s">
        <v>21</v>
      </c>
      <c r="I281">
        <v>15</v>
      </c>
      <c r="J281">
        <v>125</v>
      </c>
      <c r="K281">
        <v>1875</v>
      </c>
      <c r="L281" t="str">
        <f>IF(tblVendas[[#This Row],[regiao]]="", "Não informado", tblVendas[[#This Row],[regiao]])</f>
        <v>Centro-Oeste</v>
      </c>
      <c r="M281" t="str">
        <f>IF(tblVendas[[#This Row],[categoria]]="", "Outros", tblVendas[[#This Row],[categoria]])</f>
        <v>Vestuário</v>
      </c>
      <c r="N281">
        <f>IF(tblVendas[[#This Row],[valor_total]]&lt;0, MEDIAN(tblVendas[valor_total]), tblVendas[[#This Row],[valor_total]])</f>
        <v>1875</v>
      </c>
    </row>
    <row r="282" spans="1:14" x14ac:dyDescent="0.25">
      <c r="A282" s="1">
        <v>45407</v>
      </c>
      <c r="B282">
        <v>2024</v>
      </c>
      <c r="C282">
        <v>4</v>
      </c>
      <c r="D282">
        <v>2</v>
      </c>
      <c r="E282" t="s">
        <v>31</v>
      </c>
      <c r="F282" t="s">
        <v>12</v>
      </c>
      <c r="G282" t="s">
        <v>20</v>
      </c>
      <c r="H282" t="s">
        <v>17</v>
      </c>
      <c r="I282">
        <v>16</v>
      </c>
      <c r="J282">
        <v>99</v>
      </c>
      <c r="K282">
        <v>1584</v>
      </c>
      <c r="L282" t="str">
        <f>IF(tblVendas[[#This Row],[regiao]]="", "Não informado", tblVendas[[#This Row],[regiao]])</f>
        <v>Leste</v>
      </c>
      <c r="M282" t="str">
        <f>IF(tblVendas[[#This Row],[categoria]]="", "Outros", tblVendas[[#This Row],[categoria]])</f>
        <v>Calçados</v>
      </c>
      <c r="N282">
        <f>IF(tblVendas[[#This Row],[valor_total]]&lt;0, MEDIAN(tblVendas[valor_total]), tblVendas[[#This Row],[valor_total]])</f>
        <v>1584</v>
      </c>
    </row>
    <row r="283" spans="1:14" x14ac:dyDescent="0.25">
      <c r="A283" s="1">
        <v>45366</v>
      </c>
      <c r="B283">
        <v>2024</v>
      </c>
      <c r="C283">
        <v>3</v>
      </c>
      <c r="D283">
        <v>1</v>
      </c>
      <c r="E283" t="s">
        <v>25</v>
      </c>
      <c r="F283" t="s">
        <v>12</v>
      </c>
      <c r="G283" t="s">
        <v>28</v>
      </c>
      <c r="H283" t="s">
        <v>26</v>
      </c>
      <c r="I283">
        <v>14</v>
      </c>
      <c r="J283">
        <v>131</v>
      </c>
      <c r="K283">
        <v>1834</v>
      </c>
      <c r="L283" t="str">
        <f>IF(tblVendas[[#This Row],[regiao]]="", "Não informado", tblVendas[[#This Row],[regiao]])</f>
        <v>Sul</v>
      </c>
      <c r="M283" t="str">
        <f>IF(tblVendas[[#This Row],[categoria]]="", "Outros", tblVendas[[#This Row],[categoria]])</f>
        <v>Calçados</v>
      </c>
      <c r="N283">
        <f>IF(tblVendas[[#This Row],[valor_total]]&lt;0, MEDIAN(tblVendas[valor_total]), tblVendas[[#This Row],[valor_total]])</f>
        <v>1834</v>
      </c>
    </row>
    <row r="284" spans="1:14" x14ac:dyDescent="0.25">
      <c r="A284" s="1">
        <v>45404</v>
      </c>
      <c r="B284">
        <v>2024</v>
      </c>
      <c r="C284">
        <v>4</v>
      </c>
      <c r="D284">
        <v>2</v>
      </c>
      <c r="E284" t="s">
        <v>18</v>
      </c>
      <c r="F284" t="s">
        <v>23</v>
      </c>
      <c r="G284" t="s">
        <v>28</v>
      </c>
      <c r="H284" t="s">
        <v>17</v>
      </c>
      <c r="I284">
        <v>8</v>
      </c>
      <c r="J284">
        <v>104</v>
      </c>
      <c r="K284">
        <v>832</v>
      </c>
      <c r="L284" t="str">
        <f>IF(tblVendas[[#This Row],[regiao]]="", "Não informado", tblVendas[[#This Row],[regiao]])</f>
        <v>Leste</v>
      </c>
      <c r="M284" t="str">
        <f>IF(tblVendas[[#This Row],[categoria]]="", "Outros", tblVendas[[#This Row],[categoria]])</f>
        <v>Acessórios</v>
      </c>
      <c r="N284">
        <f>IF(tblVendas[[#This Row],[valor_total]]&lt;0, MEDIAN(tblVendas[valor_total]), tblVendas[[#This Row],[valor_total]])</f>
        <v>832</v>
      </c>
    </row>
    <row r="285" spans="1:14" x14ac:dyDescent="0.25">
      <c r="A285" s="1">
        <v>45395</v>
      </c>
      <c r="B285">
        <v>2024</v>
      </c>
      <c r="C285">
        <v>4</v>
      </c>
      <c r="D285">
        <v>2</v>
      </c>
      <c r="E285" t="s">
        <v>31</v>
      </c>
      <c r="F285" t="s">
        <v>12</v>
      </c>
      <c r="G285" t="s">
        <v>28</v>
      </c>
      <c r="H285" t="s">
        <v>26</v>
      </c>
      <c r="I285">
        <v>18</v>
      </c>
      <c r="J285">
        <v>190</v>
      </c>
      <c r="K285">
        <v>3420</v>
      </c>
      <c r="L285" t="str">
        <f>IF(tblVendas[[#This Row],[regiao]]="", "Não informado", tblVendas[[#This Row],[regiao]])</f>
        <v>Sul</v>
      </c>
      <c r="M285" t="str">
        <f>IF(tblVendas[[#This Row],[categoria]]="", "Outros", tblVendas[[#This Row],[categoria]])</f>
        <v>Calçados</v>
      </c>
      <c r="N285">
        <f>IF(tblVendas[[#This Row],[valor_total]]&lt;0, MEDIAN(tblVendas[valor_total]), tblVendas[[#This Row],[valor_total]])</f>
        <v>3420</v>
      </c>
    </row>
    <row r="286" spans="1:14" x14ac:dyDescent="0.25">
      <c r="A286" s="1">
        <v>45631</v>
      </c>
      <c r="B286">
        <v>2024</v>
      </c>
      <c r="C286">
        <v>12</v>
      </c>
      <c r="D286">
        <v>4</v>
      </c>
      <c r="E286" t="s">
        <v>18</v>
      </c>
      <c r="F286" t="s">
        <v>12</v>
      </c>
      <c r="G286" t="s">
        <v>16</v>
      </c>
      <c r="H286" t="s">
        <v>17</v>
      </c>
      <c r="I286">
        <v>10</v>
      </c>
      <c r="J286">
        <v>180</v>
      </c>
      <c r="K286">
        <v>1800</v>
      </c>
      <c r="L286" t="str">
        <f>IF(tblVendas[[#This Row],[regiao]]="", "Não informado", tblVendas[[#This Row],[regiao]])</f>
        <v>Leste</v>
      </c>
      <c r="M286" t="str">
        <f>IF(tblVendas[[#This Row],[categoria]]="", "Outros", tblVendas[[#This Row],[categoria]])</f>
        <v>Calçados</v>
      </c>
      <c r="N286">
        <f>IF(tblVendas[[#This Row],[valor_total]]&lt;0, MEDIAN(tblVendas[valor_total]), tblVendas[[#This Row],[valor_total]])</f>
        <v>1800</v>
      </c>
    </row>
    <row r="287" spans="1:14" x14ac:dyDescent="0.25">
      <c r="A287" s="1">
        <v>45545</v>
      </c>
      <c r="B287">
        <v>2024</v>
      </c>
      <c r="C287">
        <v>9</v>
      </c>
      <c r="D287">
        <v>3</v>
      </c>
      <c r="E287" t="s">
        <v>22</v>
      </c>
      <c r="F287" t="s">
        <v>12</v>
      </c>
      <c r="G287" t="s">
        <v>28</v>
      </c>
      <c r="H287" t="s">
        <v>26</v>
      </c>
      <c r="I287">
        <v>6</v>
      </c>
      <c r="J287">
        <v>172</v>
      </c>
      <c r="K287">
        <v>1032</v>
      </c>
      <c r="L287" t="str">
        <f>IF(tblVendas[[#This Row],[regiao]]="", "Não informado", tblVendas[[#This Row],[regiao]])</f>
        <v>Sul</v>
      </c>
      <c r="M287" t="str">
        <f>IF(tblVendas[[#This Row],[categoria]]="", "Outros", tblVendas[[#This Row],[categoria]])</f>
        <v>Calçados</v>
      </c>
      <c r="N287">
        <f>IF(tblVendas[[#This Row],[valor_total]]&lt;0, MEDIAN(tblVendas[valor_total]), tblVendas[[#This Row],[valor_total]])</f>
        <v>1032</v>
      </c>
    </row>
    <row r="288" spans="1:14" x14ac:dyDescent="0.25">
      <c r="A288" s="1">
        <v>45518</v>
      </c>
      <c r="B288">
        <v>2024</v>
      </c>
      <c r="C288">
        <v>8</v>
      </c>
      <c r="D288">
        <v>3</v>
      </c>
      <c r="E288" t="s">
        <v>25</v>
      </c>
      <c r="F288" t="s">
        <v>19</v>
      </c>
      <c r="G288" t="s">
        <v>16</v>
      </c>
      <c r="H288" t="s">
        <v>29</v>
      </c>
      <c r="I288">
        <v>12</v>
      </c>
      <c r="J288">
        <v>184</v>
      </c>
      <c r="K288">
        <v>2208</v>
      </c>
      <c r="L288" t="str">
        <f>IF(tblVendas[[#This Row],[regiao]]="", "Não informado", tblVendas[[#This Row],[regiao]])</f>
        <v>Oeste</v>
      </c>
      <c r="M288" t="str">
        <f>IF(tblVendas[[#This Row],[categoria]]="", "Outros", tblVendas[[#This Row],[categoria]])</f>
        <v>Vestuário</v>
      </c>
      <c r="N288">
        <f>IF(tblVendas[[#This Row],[valor_total]]&lt;0, MEDIAN(tblVendas[valor_total]), tblVendas[[#This Row],[valor_total]])</f>
        <v>2208</v>
      </c>
    </row>
    <row r="289" spans="1:14" x14ac:dyDescent="0.25">
      <c r="A289" s="1">
        <v>45403</v>
      </c>
      <c r="B289">
        <v>2024</v>
      </c>
      <c r="C289">
        <v>4</v>
      </c>
      <c r="D289">
        <v>2</v>
      </c>
      <c r="E289" t="s">
        <v>30</v>
      </c>
      <c r="F289" t="s">
        <v>19</v>
      </c>
      <c r="G289" t="s">
        <v>24</v>
      </c>
      <c r="H289" t="s">
        <v>26</v>
      </c>
      <c r="I289">
        <v>2</v>
      </c>
      <c r="J289">
        <v>111</v>
      </c>
      <c r="K289">
        <v>222</v>
      </c>
      <c r="L289" t="str">
        <f>IF(tblVendas[[#This Row],[regiao]]="", "Não informado", tblVendas[[#This Row],[regiao]])</f>
        <v>Sul</v>
      </c>
      <c r="M289" t="str">
        <f>IF(tblVendas[[#This Row],[categoria]]="", "Outros", tblVendas[[#This Row],[categoria]])</f>
        <v>Vestuário</v>
      </c>
      <c r="N289">
        <f>IF(tblVendas[[#This Row],[valor_total]]&lt;0, MEDIAN(tblVendas[valor_total]), tblVendas[[#This Row],[valor_total]])</f>
        <v>222</v>
      </c>
    </row>
    <row r="290" spans="1:14" x14ac:dyDescent="0.25">
      <c r="A290" s="1">
        <v>45390</v>
      </c>
      <c r="B290">
        <v>2024</v>
      </c>
      <c r="C290">
        <v>4</v>
      </c>
      <c r="D290">
        <v>2</v>
      </c>
      <c r="E290" t="s">
        <v>15</v>
      </c>
      <c r="F290" t="s">
        <v>12</v>
      </c>
      <c r="G290" t="s">
        <v>20</v>
      </c>
      <c r="H290" t="s">
        <v>26</v>
      </c>
      <c r="I290">
        <v>7</v>
      </c>
      <c r="J290">
        <v>121</v>
      </c>
      <c r="K290">
        <v>847</v>
      </c>
      <c r="L290" t="str">
        <f>IF(tblVendas[[#This Row],[regiao]]="", "Não informado", tblVendas[[#This Row],[regiao]])</f>
        <v>Sul</v>
      </c>
      <c r="M290" t="str">
        <f>IF(tblVendas[[#This Row],[categoria]]="", "Outros", tblVendas[[#This Row],[categoria]])</f>
        <v>Calçados</v>
      </c>
      <c r="N290">
        <f>IF(tblVendas[[#This Row],[valor_total]]&lt;0, MEDIAN(tblVendas[valor_total]), tblVendas[[#This Row],[valor_total]])</f>
        <v>847</v>
      </c>
    </row>
    <row r="291" spans="1:14" x14ac:dyDescent="0.25">
      <c r="A291" s="1">
        <v>45444</v>
      </c>
      <c r="B291">
        <v>2024</v>
      </c>
      <c r="C291">
        <v>6</v>
      </c>
      <c r="D291">
        <v>2</v>
      </c>
      <c r="E291" t="s">
        <v>33</v>
      </c>
      <c r="F291" t="s">
        <v>23</v>
      </c>
      <c r="G291" t="s">
        <v>20</v>
      </c>
      <c r="H291" t="s">
        <v>14</v>
      </c>
      <c r="I291">
        <v>16</v>
      </c>
      <c r="J291">
        <v>33</v>
      </c>
      <c r="K291">
        <v>528</v>
      </c>
      <c r="L291" t="str">
        <f>IF(tblVendas[[#This Row],[regiao]]="", "Não informado", tblVendas[[#This Row],[regiao]])</f>
        <v>Norte</v>
      </c>
      <c r="M291" t="str">
        <f>IF(tblVendas[[#This Row],[categoria]]="", "Outros", tblVendas[[#This Row],[categoria]])</f>
        <v>Acessórios</v>
      </c>
      <c r="N291">
        <f>IF(tblVendas[[#This Row],[valor_total]]&lt;0, MEDIAN(tblVendas[valor_total]), tblVendas[[#This Row],[valor_total]])</f>
        <v>528</v>
      </c>
    </row>
    <row r="292" spans="1:14" x14ac:dyDescent="0.25">
      <c r="A292" s="1">
        <v>45640</v>
      </c>
      <c r="B292">
        <v>2024</v>
      </c>
      <c r="C292">
        <v>12</v>
      </c>
      <c r="D292">
        <v>4</v>
      </c>
      <c r="E292" t="s">
        <v>30</v>
      </c>
      <c r="F292" t="s">
        <v>19</v>
      </c>
      <c r="G292" t="s">
        <v>20</v>
      </c>
      <c r="H292" t="s">
        <v>26</v>
      </c>
      <c r="I292">
        <v>3</v>
      </c>
      <c r="J292">
        <v>164</v>
      </c>
      <c r="K292">
        <v>492</v>
      </c>
      <c r="L292" t="str">
        <f>IF(tblVendas[[#This Row],[regiao]]="", "Não informado", tblVendas[[#This Row],[regiao]])</f>
        <v>Sul</v>
      </c>
      <c r="M292" t="str">
        <f>IF(tblVendas[[#This Row],[categoria]]="", "Outros", tblVendas[[#This Row],[categoria]])</f>
        <v>Vestuário</v>
      </c>
      <c r="N292">
        <f>IF(tblVendas[[#This Row],[valor_total]]&lt;0, MEDIAN(tblVendas[valor_total]), tblVendas[[#This Row],[valor_total]])</f>
        <v>492</v>
      </c>
    </row>
    <row r="293" spans="1:14" x14ac:dyDescent="0.25">
      <c r="A293" s="1">
        <v>45657</v>
      </c>
      <c r="B293">
        <v>2024</v>
      </c>
      <c r="C293">
        <v>12</v>
      </c>
      <c r="D293">
        <v>4</v>
      </c>
      <c r="E293" t="s">
        <v>15</v>
      </c>
      <c r="F293" t="s">
        <v>23</v>
      </c>
      <c r="G293" t="s">
        <v>20</v>
      </c>
      <c r="H293" t="s">
        <v>14</v>
      </c>
      <c r="I293">
        <v>13</v>
      </c>
      <c r="J293">
        <v>138</v>
      </c>
      <c r="K293">
        <v>1794</v>
      </c>
      <c r="L293" t="str">
        <f>IF(tblVendas[[#This Row],[regiao]]="", "Não informado", tblVendas[[#This Row],[regiao]])</f>
        <v>Norte</v>
      </c>
      <c r="M293" t="str">
        <f>IF(tblVendas[[#This Row],[categoria]]="", "Outros", tblVendas[[#This Row],[categoria]])</f>
        <v>Acessórios</v>
      </c>
      <c r="N293">
        <f>IF(tblVendas[[#This Row],[valor_total]]&lt;0, MEDIAN(tblVendas[valor_total]), tblVendas[[#This Row],[valor_total]])</f>
        <v>1794</v>
      </c>
    </row>
    <row r="294" spans="1:14" x14ac:dyDescent="0.25">
      <c r="A294" s="1">
        <v>45629</v>
      </c>
      <c r="B294">
        <v>2024</v>
      </c>
      <c r="C294">
        <v>12</v>
      </c>
      <c r="D294">
        <v>4</v>
      </c>
      <c r="E294" t="s">
        <v>27</v>
      </c>
      <c r="F294" t="s">
        <v>12</v>
      </c>
      <c r="G294" t="s">
        <v>20</v>
      </c>
      <c r="H294" t="s">
        <v>21</v>
      </c>
      <c r="I294">
        <v>3</v>
      </c>
      <c r="J294">
        <v>192</v>
      </c>
      <c r="K294">
        <v>576</v>
      </c>
      <c r="L294" t="str">
        <f>IF(tblVendas[[#This Row],[regiao]]="", "Não informado", tblVendas[[#This Row],[regiao]])</f>
        <v>Centro-Oeste</v>
      </c>
      <c r="M294" t="str">
        <f>IF(tblVendas[[#This Row],[categoria]]="", "Outros", tblVendas[[#This Row],[categoria]])</f>
        <v>Calçados</v>
      </c>
      <c r="N294">
        <f>IF(tblVendas[[#This Row],[valor_total]]&lt;0, MEDIAN(tblVendas[valor_total]), tblVendas[[#This Row],[valor_total]])</f>
        <v>576</v>
      </c>
    </row>
    <row r="295" spans="1:14" x14ac:dyDescent="0.25">
      <c r="A295" s="1">
        <v>45485</v>
      </c>
      <c r="B295">
        <v>2024</v>
      </c>
      <c r="C295">
        <v>7</v>
      </c>
      <c r="D295">
        <v>3</v>
      </c>
      <c r="E295" t="s">
        <v>32</v>
      </c>
      <c r="F295" t="s">
        <v>12</v>
      </c>
      <c r="G295" t="s">
        <v>20</v>
      </c>
      <c r="H295" t="s">
        <v>14</v>
      </c>
      <c r="I295">
        <v>18</v>
      </c>
      <c r="J295">
        <v>77</v>
      </c>
      <c r="K295">
        <v>1386</v>
      </c>
      <c r="L295" t="str">
        <f>IF(tblVendas[[#This Row],[regiao]]="", "Não informado", tblVendas[[#This Row],[regiao]])</f>
        <v>Norte</v>
      </c>
      <c r="M295" t="str">
        <f>IF(tblVendas[[#This Row],[categoria]]="", "Outros", tblVendas[[#This Row],[categoria]])</f>
        <v>Calçados</v>
      </c>
      <c r="N295">
        <f>IF(tblVendas[[#This Row],[valor_total]]&lt;0, MEDIAN(tblVendas[valor_total]), tblVendas[[#This Row],[valor_total]])</f>
        <v>1386</v>
      </c>
    </row>
    <row r="296" spans="1:14" x14ac:dyDescent="0.25">
      <c r="A296" s="1">
        <v>45601</v>
      </c>
      <c r="B296">
        <v>2024</v>
      </c>
      <c r="C296">
        <v>11</v>
      </c>
      <c r="D296">
        <v>4</v>
      </c>
      <c r="E296" t="s">
        <v>11</v>
      </c>
      <c r="F296" t="s">
        <v>19</v>
      </c>
      <c r="G296" t="s">
        <v>20</v>
      </c>
      <c r="H296" t="s">
        <v>29</v>
      </c>
      <c r="I296">
        <v>11</v>
      </c>
      <c r="J296">
        <v>102</v>
      </c>
      <c r="K296">
        <v>1122</v>
      </c>
      <c r="L296" t="str">
        <f>IF(tblVendas[[#This Row],[regiao]]="", "Não informado", tblVendas[[#This Row],[regiao]])</f>
        <v>Oeste</v>
      </c>
      <c r="M296" t="str">
        <f>IF(tblVendas[[#This Row],[categoria]]="", "Outros", tblVendas[[#This Row],[categoria]])</f>
        <v>Vestuário</v>
      </c>
      <c r="N296">
        <f>IF(tblVendas[[#This Row],[valor_total]]&lt;0, MEDIAN(tblVendas[valor_total]), tblVendas[[#This Row],[valor_total]])</f>
        <v>1122</v>
      </c>
    </row>
    <row r="297" spans="1:14" x14ac:dyDescent="0.25">
      <c r="A297" s="1">
        <v>45454</v>
      </c>
      <c r="B297">
        <v>2024</v>
      </c>
      <c r="C297">
        <v>6</v>
      </c>
      <c r="D297">
        <v>2</v>
      </c>
      <c r="E297" t="s">
        <v>11</v>
      </c>
      <c r="F297" t="s">
        <v>12</v>
      </c>
      <c r="G297" t="s">
        <v>24</v>
      </c>
      <c r="H297" t="s">
        <v>14</v>
      </c>
      <c r="I297">
        <v>8</v>
      </c>
      <c r="J297">
        <v>101</v>
      </c>
      <c r="K297">
        <v>808</v>
      </c>
      <c r="L297" t="str">
        <f>IF(tblVendas[[#This Row],[regiao]]="", "Não informado", tblVendas[[#This Row],[regiao]])</f>
        <v>Norte</v>
      </c>
      <c r="M297" t="str">
        <f>IF(tblVendas[[#This Row],[categoria]]="", "Outros", tblVendas[[#This Row],[categoria]])</f>
        <v>Calçados</v>
      </c>
      <c r="N297">
        <f>IF(tblVendas[[#This Row],[valor_total]]&lt;0, MEDIAN(tblVendas[valor_total]), tblVendas[[#This Row],[valor_total]])</f>
        <v>808</v>
      </c>
    </row>
    <row r="298" spans="1:14" x14ac:dyDescent="0.25">
      <c r="A298" s="1">
        <v>45499</v>
      </c>
      <c r="B298">
        <v>2024</v>
      </c>
      <c r="C298">
        <v>7</v>
      </c>
      <c r="D298">
        <v>3</v>
      </c>
      <c r="E298" t="s">
        <v>33</v>
      </c>
      <c r="F298" t="s">
        <v>19</v>
      </c>
      <c r="G298" t="s">
        <v>28</v>
      </c>
      <c r="H298" t="s">
        <v>21</v>
      </c>
      <c r="I298">
        <v>6</v>
      </c>
      <c r="J298">
        <v>145</v>
      </c>
      <c r="K298">
        <v>870</v>
      </c>
      <c r="L298" t="str">
        <f>IF(tblVendas[[#This Row],[regiao]]="", "Não informado", tblVendas[[#This Row],[regiao]])</f>
        <v>Centro-Oeste</v>
      </c>
      <c r="M298" t="str">
        <f>IF(tblVendas[[#This Row],[categoria]]="", "Outros", tblVendas[[#This Row],[categoria]])</f>
        <v>Vestuário</v>
      </c>
      <c r="N298">
        <f>IF(tblVendas[[#This Row],[valor_total]]&lt;0, MEDIAN(tblVendas[valor_total]), tblVendas[[#This Row],[valor_total]])</f>
        <v>870</v>
      </c>
    </row>
    <row r="299" spans="1:14" x14ac:dyDescent="0.25">
      <c r="A299" s="1">
        <v>45460</v>
      </c>
      <c r="B299">
        <v>2024</v>
      </c>
      <c r="C299">
        <v>6</v>
      </c>
      <c r="D299">
        <v>2</v>
      </c>
      <c r="E299" t="s">
        <v>25</v>
      </c>
      <c r="F299" t="s">
        <v>12</v>
      </c>
      <c r="G299" t="s">
        <v>13</v>
      </c>
      <c r="H299" t="s">
        <v>29</v>
      </c>
      <c r="I299">
        <v>1</v>
      </c>
      <c r="J299">
        <v>110</v>
      </c>
      <c r="K299">
        <v>110</v>
      </c>
      <c r="L299" t="str">
        <f>IF(tblVendas[[#This Row],[regiao]]="", "Não informado", tblVendas[[#This Row],[regiao]])</f>
        <v>Oeste</v>
      </c>
      <c r="M299" t="str">
        <f>IF(tblVendas[[#This Row],[categoria]]="", "Outros", tblVendas[[#This Row],[categoria]])</f>
        <v>Calçados</v>
      </c>
      <c r="N299">
        <f>IF(tblVendas[[#This Row],[valor_total]]&lt;0, MEDIAN(tblVendas[valor_total]), tblVendas[[#This Row],[valor_total]])</f>
        <v>110</v>
      </c>
    </row>
    <row r="300" spans="1:14" x14ac:dyDescent="0.25">
      <c r="A300" s="1">
        <v>45452</v>
      </c>
      <c r="B300">
        <v>2024</v>
      </c>
      <c r="C300">
        <v>6</v>
      </c>
      <c r="D300">
        <v>2</v>
      </c>
      <c r="E300" t="s">
        <v>22</v>
      </c>
      <c r="F300" t="s">
        <v>12</v>
      </c>
      <c r="G300" t="s">
        <v>16</v>
      </c>
      <c r="H300" t="s">
        <v>17</v>
      </c>
      <c r="I300">
        <v>1</v>
      </c>
      <c r="J300">
        <v>110</v>
      </c>
      <c r="K300">
        <v>110</v>
      </c>
      <c r="L300" t="str">
        <f>IF(tblVendas[[#This Row],[regiao]]="", "Não informado", tblVendas[[#This Row],[regiao]])</f>
        <v>Leste</v>
      </c>
      <c r="M300" t="str">
        <f>IF(tblVendas[[#This Row],[categoria]]="", "Outros", tblVendas[[#This Row],[categoria]])</f>
        <v>Calçados</v>
      </c>
      <c r="N300">
        <f>IF(tblVendas[[#This Row],[valor_total]]&lt;0, MEDIAN(tblVendas[valor_total]), tblVendas[[#This Row],[valor_total]])</f>
        <v>110</v>
      </c>
    </row>
    <row r="301" spans="1:14" x14ac:dyDescent="0.25">
      <c r="A301" s="1">
        <v>45359</v>
      </c>
      <c r="B301">
        <v>2024</v>
      </c>
      <c r="C301">
        <v>3</v>
      </c>
      <c r="D301">
        <v>1</v>
      </c>
      <c r="E301" t="s">
        <v>25</v>
      </c>
      <c r="F301" t="s">
        <v>19</v>
      </c>
      <c r="G301" t="s">
        <v>13</v>
      </c>
      <c r="H301" t="s">
        <v>17</v>
      </c>
      <c r="I301">
        <v>8</v>
      </c>
      <c r="J301">
        <v>142</v>
      </c>
      <c r="K301">
        <v>1136</v>
      </c>
      <c r="L301" t="str">
        <f>IF(tblVendas[[#This Row],[regiao]]="", "Não informado", tblVendas[[#This Row],[regiao]])</f>
        <v>Leste</v>
      </c>
      <c r="M301" t="str">
        <f>IF(tblVendas[[#This Row],[categoria]]="", "Outros", tblVendas[[#This Row],[categoria]])</f>
        <v>Vestuário</v>
      </c>
      <c r="N301">
        <f>IF(tblVendas[[#This Row],[valor_total]]&lt;0, MEDIAN(tblVendas[valor_total]), tblVendas[[#This Row],[valor_total]])</f>
        <v>1136</v>
      </c>
    </row>
    <row r="302" spans="1:14" x14ac:dyDescent="0.25">
      <c r="A302" s="1">
        <v>45580</v>
      </c>
      <c r="B302">
        <v>2024</v>
      </c>
      <c r="C302">
        <v>10</v>
      </c>
      <c r="D302">
        <v>4</v>
      </c>
      <c r="E302" t="s">
        <v>22</v>
      </c>
      <c r="F302" t="s">
        <v>19</v>
      </c>
      <c r="G302" t="s">
        <v>13</v>
      </c>
      <c r="H302" t="s">
        <v>14</v>
      </c>
      <c r="I302">
        <v>5</v>
      </c>
      <c r="J302">
        <v>125</v>
      </c>
      <c r="K302">
        <v>625</v>
      </c>
      <c r="L302" t="str">
        <f>IF(tblVendas[[#This Row],[regiao]]="", "Não informado", tblVendas[[#This Row],[regiao]])</f>
        <v>Norte</v>
      </c>
      <c r="M302" t="str">
        <f>IF(tblVendas[[#This Row],[categoria]]="", "Outros", tblVendas[[#This Row],[categoria]])</f>
        <v>Vestuário</v>
      </c>
      <c r="N302">
        <f>IF(tblVendas[[#This Row],[valor_total]]&lt;0, MEDIAN(tblVendas[valor_total]), tblVendas[[#This Row],[valor_total]])</f>
        <v>625</v>
      </c>
    </row>
    <row r="303" spans="1:14" x14ac:dyDescent="0.25">
      <c r="A303" s="1">
        <v>45568</v>
      </c>
      <c r="B303">
        <v>2024</v>
      </c>
      <c r="C303">
        <v>10</v>
      </c>
      <c r="D303">
        <v>4</v>
      </c>
      <c r="E303" t="s">
        <v>25</v>
      </c>
      <c r="F303" t="s">
        <v>19</v>
      </c>
      <c r="G303" t="s">
        <v>28</v>
      </c>
      <c r="H303" t="s">
        <v>14</v>
      </c>
      <c r="I303">
        <v>16</v>
      </c>
      <c r="J303">
        <v>101</v>
      </c>
      <c r="K303">
        <v>1616</v>
      </c>
      <c r="L303" t="str">
        <f>IF(tblVendas[[#This Row],[regiao]]="", "Não informado", tblVendas[[#This Row],[regiao]])</f>
        <v>Norte</v>
      </c>
      <c r="M303" t="str">
        <f>IF(tblVendas[[#This Row],[categoria]]="", "Outros", tblVendas[[#This Row],[categoria]])</f>
        <v>Vestuário</v>
      </c>
      <c r="N303">
        <f>IF(tblVendas[[#This Row],[valor_total]]&lt;0, MEDIAN(tblVendas[valor_total]), tblVendas[[#This Row],[valor_total]])</f>
        <v>1616</v>
      </c>
    </row>
    <row r="304" spans="1:14" x14ac:dyDescent="0.25">
      <c r="A304" s="1">
        <v>45595</v>
      </c>
      <c r="B304">
        <v>2024</v>
      </c>
      <c r="C304">
        <v>10</v>
      </c>
      <c r="D304">
        <v>4</v>
      </c>
      <c r="E304" t="s">
        <v>32</v>
      </c>
      <c r="F304" t="s">
        <v>12</v>
      </c>
      <c r="G304" t="s">
        <v>28</v>
      </c>
      <c r="H304" t="s">
        <v>21</v>
      </c>
      <c r="I304">
        <v>11</v>
      </c>
      <c r="J304">
        <v>176</v>
      </c>
      <c r="K304">
        <v>1936</v>
      </c>
      <c r="L304" t="str">
        <f>IF(tblVendas[[#This Row],[regiao]]="", "Não informado", tblVendas[[#This Row],[regiao]])</f>
        <v>Centro-Oeste</v>
      </c>
      <c r="M304" t="str">
        <f>IF(tblVendas[[#This Row],[categoria]]="", "Outros", tblVendas[[#This Row],[categoria]])</f>
        <v>Calçados</v>
      </c>
      <c r="N304">
        <f>IF(tblVendas[[#This Row],[valor_total]]&lt;0, MEDIAN(tblVendas[valor_total]), tblVendas[[#This Row],[valor_total]])</f>
        <v>1936</v>
      </c>
    </row>
    <row r="305" spans="1:14" x14ac:dyDescent="0.25">
      <c r="A305" s="1">
        <v>45426</v>
      </c>
      <c r="B305">
        <v>2024</v>
      </c>
      <c r="C305">
        <v>5</v>
      </c>
      <c r="D305">
        <v>2</v>
      </c>
      <c r="E305" t="s">
        <v>27</v>
      </c>
      <c r="F305" t="s">
        <v>12</v>
      </c>
      <c r="G305" t="s">
        <v>28</v>
      </c>
      <c r="H305" t="s">
        <v>21</v>
      </c>
      <c r="I305">
        <v>5</v>
      </c>
      <c r="J305">
        <v>92</v>
      </c>
      <c r="K305">
        <v>460</v>
      </c>
      <c r="L305" t="str">
        <f>IF(tblVendas[[#This Row],[regiao]]="", "Não informado", tblVendas[[#This Row],[regiao]])</f>
        <v>Centro-Oeste</v>
      </c>
      <c r="M305" t="str">
        <f>IF(tblVendas[[#This Row],[categoria]]="", "Outros", tblVendas[[#This Row],[categoria]])</f>
        <v>Calçados</v>
      </c>
      <c r="N305">
        <f>IF(tblVendas[[#This Row],[valor_total]]&lt;0, MEDIAN(tblVendas[valor_total]), tblVendas[[#This Row],[valor_total]])</f>
        <v>460</v>
      </c>
    </row>
    <row r="306" spans="1:14" x14ac:dyDescent="0.25">
      <c r="A306" s="1">
        <v>45486</v>
      </c>
      <c r="B306">
        <v>2024</v>
      </c>
      <c r="C306">
        <v>7</v>
      </c>
      <c r="D306">
        <v>3</v>
      </c>
      <c r="E306" t="s">
        <v>27</v>
      </c>
      <c r="F306" t="s">
        <v>23</v>
      </c>
      <c r="G306" t="s">
        <v>20</v>
      </c>
      <c r="H306" t="s">
        <v>26</v>
      </c>
      <c r="I306">
        <v>4</v>
      </c>
      <c r="J306">
        <v>67</v>
      </c>
      <c r="K306">
        <v>268</v>
      </c>
      <c r="L306" t="str">
        <f>IF(tblVendas[[#This Row],[regiao]]="", "Não informado", tblVendas[[#This Row],[regiao]])</f>
        <v>Sul</v>
      </c>
      <c r="M306" t="str">
        <f>IF(tblVendas[[#This Row],[categoria]]="", "Outros", tblVendas[[#This Row],[categoria]])</f>
        <v>Acessórios</v>
      </c>
      <c r="N306">
        <f>IF(tblVendas[[#This Row],[valor_total]]&lt;0, MEDIAN(tblVendas[valor_total]), tblVendas[[#This Row],[valor_total]])</f>
        <v>268</v>
      </c>
    </row>
    <row r="307" spans="1:14" x14ac:dyDescent="0.25">
      <c r="A307" s="1">
        <v>45419</v>
      </c>
      <c r="B307">
        <v>2024</v>
      </c>
      <c r="C307">
        <v>5</v>
      </c>
      <c r="D307">
        <v>2</v>
      </c>
      <c r="E307" t="s">
        <v>15</v>
      </c>
      <c r="F307" t="s">
        <v>19</v>
      </c>
      <c r="G307" t="s">
        <v>24</v>
      </c>
      <c r="H307" t="s">
        <v>21</v>
      </c>
      <c r="I307">
        <v>6</v>
      </c>
      <c r="J307">
        <v>96</v>
      </c>
      <c r="K307">
        <v>576</v>
      </c>
      <c r="L307" t="str">
        <f>IF(tblVendas[[#This Row],[regiao]]="", "Não informado", tblVendas[[#This Row],[regiao]])</f>
        <v>Centro-Oeste</v>
      </c>
      <c r="M307" t="str">
        <f>IF(tblVendas[[#This Row],[categoria]]="", "Outros", tblVendas[[#This Row],[categoria]])</f>
        <v>Vestuário</v>
      </c>
      <c r="N307">
        <f>IF(tblVendas[[#This Row],[valor_total]]&lt;0, MEDIAN(tblVendas[valor_total]), tblVendas[[#This Row],[valor_total]])</f>
        <v>576</v>
      </c>
    </row>
    <row r="308" spans="1:14" x14ac:dyDescent="0.25">
      <c r="A308" s="1">
        <v>45324</v>
      </c>
      <c r="B308">
        <v>2024</v>
      </c>
      <c r="C308">
        <v>2</v>
      </c>
      <c r="D308">
        <v>1</v>
      </c>
      <c r="E308" t="s">
        <v>31</v>
      </c>
      <c r="F308" t="s">
        <v>12</v>
      </c>
      <c r="G308" t="s">
        <v>20</v>
      </c>
      <c r="H308" t="s">
        <v>26</v>
      </c>
      <c r="I308">
        <v>14</v>
      </c>
      <c r="J308">
        <v>98</v>
      </c>
      <c r="K308">
        <v>1372</v>
      </c>
      <c r="L308" t="str">
        <f>IF(tblVendas[[#This Row],[regiao]]="", "Não informado", tblVendas[[#This Row],[regiao]])</f>
        <v>Sul</v>
      </c>
      <c r="M308" t="str">
        <f>IF(tblVendas[[#This Row],[categoria]]="", "Outros", tblVendas[[#This Row],[categoria]])</f>
        <v>Calçados</v>
      </c>
      <c r="N308">
        <f>IF(tblVendas[[#This Row],[valor_total]]&lt;0, MEDIAN(tblVendas[valor_total]), tblVendas[[#This Row],[valor_total]])</f>
        <v>1372</v>
      </c>
    </row>
    <row r="309" spans="1:14" x14ac:dyDescent="0.25">
      <c r="A309" s="1">
        <v>45467</v>
      </c>
      <c r="B309">
        <v>2024</v>
      </c>
      <c r="C309">
        <v>6</v>
      </c>
      <c r="D309">
        <v>2</v>
      </c>
      <c r="E309" t="s">
        <v>27</v>
      </c>
      <c r="F309" t="s">
        <v>12</v>
      </c>
      <c r="G309" t="s">
        <v>24</v>
      </c>
      <c r="H309" t="s">
        <v>29</v>
      </c>
      <c r="I309">
        <v>19</v>
      </c>
      <c r="J309">
        <v>42</v>
      </c>
      <c r="K309">
        <v>798</v>
      </c>
      <c r="L309" t="str">
        <f>IF(tblVendas[[#This Row],[regiao]]="", "Não informado", tblVendas[[#This Row],[regiao]])</f>
        <v>Oeste</v>
      </c>
      <c r="M309" t="str">
        <f>IF(tblVendas[[#This Row],[categoria]]="", "Outros", tblVendas[[#This Row],[categoria]])</f>
        <v>Calçados</v>
      </c>
      <c r="N309">
        <f>IF(tblVendas[[#This Row],[valor_total]]&lt;0, MEDIAN(tblVendas[valor_total]), tblVendas[[#This Row],[valor_total]])</f>
        <v>798</v>
      </c>
    </row>
    <row r="310" spans="1:14" x14ac:dyDescent="0.25">
      <c r="A310" s="1">
        <v>45313</v>
      </c>
      <c r="B310">
        <v>2024</v>
      </c>
      <c r="C310">
        <v>1</v>
      </c>
      <c r="D310">
        <v>1</v>
      </c>
      <c r="E310" t="s">
        <v>27</v>
      </c>
      <c r="F310" t="s">
        <v>19</v>
      </c>
      <c r="G310" t="s">
        <v>24</v>
      </c>
      <c r="H310" t="s">
        <v>14</v>
      </c>
      <c r="I310">
        <v>9</v>
      </c>
      <c r="J310">
        <v>60</v>
      </c>
      <c r="K310">
        <v>540</v>
      </c>
      <c r="L310" t="str">
        <f>IF(tblVendas[[#This Row],[regiao]]="", "Não informado", tblVendas[[#This Row],[regiao]])</f>
        <v>Norte</v>
      </c>
      <c r="M310" t="str">
        <f>IF(tblVendas[[#This Row],[categoria]]="", "Outros", tblVendas[[#This Row],[categoria]])</f>
        <v>Vestuário</v>
      </c>
      <c r="N310">
        <f>IF(tblVendas[[#This Row],[valor_total]]&lt;0, MEDIAN(tblVendas[valor_total]), tblVendas[[#This Row],[valor_total]])</f>
        <v>540</v>
      </c>
    </row>
    <row r="311" spans="1:14" x14ac:dyDescent="0.25">
      <c r="A311" s="1">
        <v>45529</v>
      </c>
      <c r="B311">
        <v>2024</v>
      </c>
      <c r="C311">
        <v>8</v>
      </c>
      <c r="D311">
        <v>3</v>
      </c>
      <c r="E311" t="s">
        <v>30</v>
      </c>
      <c r="F311" t="s">
        <v>23</v>
      </c>
      <c r="G311" t="s">
        <v>13</v>
      </c>
      <c r="H311" t="s">
        <v>29</v>
      </c>
      <c r="I311">
        <v>12</v>
      </c>
      <c r="J311">
        <v>143</v>
      </c>
      <c r="K311">
        <v>1716</v>
      </c>
      <c r="L311" t="str">
        <f>IF(tblVendas[[#This Row],[regiao]]="", "Não informado", tblVendas[[#This Row],[regiao]])</f>
        <v>Oeste</v>
      </c>
      <c r="M311" t="str">
        <f>IF(tblVendas[[#This Row],[categoria]]="", "Outros", tblVendas[[#This Row],[categoria]])</f>
        <v>Acessórios</v>
      </c>
      <c r="N311">
        <f>IF(tblVendas[[#This Row],[valor_total]]&lt;0, MEDIAN(tblVendas[valor_total]), tblVendas[[#This Row],[valor_total]])</f>
        <v>1716</v>
      </c>
    </row>
    <row r="312" spans="1:14" x14ac:dyDescent="0.25">
      <c r="A312" s="1">
        <v>45449</v>
      </c>
      <c r="B312">
        <v>2024</v>
      </c>
      <c r="C312">
        <v>6</v>
      </c>
      <c r="D312">
        <v>2</v>
      </c>
      <c r="E312" t="s">
        <v>30</v>
      </c>
      <c r="F312" t="s">
        <v>19</v>
      </c>
      <c r="G312" t="s">
        <v>13</v>
      </c>
      <c r="H312" t="s">
        <v>21</v>
      </c>
      <c r="I312">
        <v>11</v>
      </c>
      <c r="J312">
        <v>51</v>
      </c>
      <c r="K312">
        <v>561</v>
      </c>
      <c r="L312" t="str">
        <f>IF(tblVendas[[#This Row],[regiao]]="", "Não informado", tblVendas[[#This Row],[regiao]])</f>
        <v>Centro-Oeste</v>
      </c>
      <c r="M312" t="str">
        <f>IF(tblVendas[[#This Row],[categoria]]="", "Outros", tblVendas[[#This Row],[categoria]])</f>
        <v>Vestuário</v>
      </c>
      <c r="N312">
        <f>IF(tblVendas[[#This Row],[valor_total]]&lt;0, MEDIAN(tblVendas[valor_total]), tblVendas[[#This Row],[valor_total]])</f>
        <v>561</v>
      </c>
    </row>
    <row r="313" spans="1:14" x14ac:dyDescent="0.25">
      <c r="A313" s="1">
        <v>45329</v>
      </c>
      <c r="B313">
        <v>2024</v>
      </c>
      <c r="C313">
        <v>2</v>
      </c>
      <c r="D313">
        <v>1</v>
      </c>
      <c r="E313" t="s">
        <v>15</v>
      </c>
      <c r="F313" t="s">
        <v>23</v>
      </c>
      <c r="G313" t="s">
        <v>24</v>
      </c>
      <c r="H313" t="s">
        <v>29</v>
      </c>
      <c r="I313">
        <v>14</v>
      </c>
      <c r="J313">
        <v>122</v>
      </c>
      <c r="K313">
        <v>1708</v>
      </c>
      <c r="L313" t="str">
        <f>IF(tblVendas[[#This Row],[regiao]]="", "Não informado", tblVendas[[#This Row],[regiao]])</f>
        <v>Oeste</v>
      </c>
      <c r="M313" t="str">
        <f>IF(tblVendas[[#This Row],[categoria]]="", "Outros", tblVendas[[#This Row],[categoria]])</f>
        <v>Acessórios</v>
      </c>
      <c r="N313">
        <f>IF(tblVendas[[#This Row],[valor_total]]&lt;0, MEDIAN(tblVendas[valor_total]), tblVendas[[#This Row],[valor_total]])</f>
        <v>1708</v>
      </c>
    </row>
    <row r="314" spans="1:14" x14ac:dyDescent="0.25">
      <c r="A314" s="1">
        <v>45521</v>
      </c>
      <c r="B314">
        <v>2024</v>
      </c>
      <c r="C314">
        <v>8</v>
      </c>
      <c r="D314">
        <v>3</v>
      </c>
      <c r="E314" t="s">
        <v>31</v>
      </c>
      <c r="F314" t="s">
        <v>12</v>
      </c>
      <c r="G314" t="s">
        <v>24</v>
      </c>
      <c r="H314" t="s">
        <v>29</v>
      </c>
      <c r="I314">
        <v>16</v>
      </c>
      <c r="J314">
        <v>96</v>
      </c>
      <c r="K314">
        <v>1536</v>
      </c>
      <c r="L314" t="str">
        <f>IF(tblVendas[[#This Row],[regiao]]="", "Não informado", tblVendas[[#This Row],[regiao]])</f>
        <v>Oeste</v>
      </c>
      <c r="M314" t="str">
        <f>IF(tblVendas[[#This Row],[categoria]]="", "Outros", tblVendas[[#This Row],[categoria]])</f>
        <v>Calçados</v>
      </c>
      <c r="N314">
        <f>IF(tblVendas[[#This Row],[valor_total]]&lt;0, MEDIAN(tblVendas[valor_total]), tblVendas[[#This Row],[valor_total]])</f>
        <v>1536</v>
      </c>
    </row>
    <row r="315" spans="1:14" x14ac:dyDescent="0.25">
      <c r="A315" s="1">
        <v>45656</v>
      </c>
      <c r="B315">
        <v>2024</v>
      </c>
      <c r="C315">
        <v>12</v>
      </c>
      <c r="D315">
        <v>4</v>
      </c>
      <c r="E315" t="s">
        <v>33</v>
      </c>
      <c r="F315" t="s">
        <v>23</v>
      </c>
      <c r="G315" t="s">
        <v>20</v>
      </c>
      <c r="H315" t="s">
        <v>29</v>
      </c>
      <c r="I315">
        <v>1</v>
      </c>
      <c r="J315">
        <v>83</v>
      </c>
      <c r="K315">
        <v>83</v>
      </c>
      <c r="L315" t="str">
        <f>IF(tblVendas[[#This Row],[regiao]]="", "Não informado", tblVendas[[#This Row],[regiao]])</f>
        <v>Oeste</v>
      </c>
      <c r="M315" t="str">
        <f>IF(tblVendas[[#This Row],[categoria]]="", "Outros", tblVendas[[#This Row],[categoria]])</f>
        <v>Acessórios</v>
      </c>
      <c r="N315">
        <f>IF(tblVendas[[#This Row],[valor_total]]&lt;0, MEDIAN(tblVendas[valor_total]), tblVendas[[#This Row],[valor_total]])</f>
        <v>83</v>
      </c>
    </row>
    <row r="316" spans="1:14" x14ac:dyDescent="0.25">
      <c r="A316" s="1">
        <v>45342</v>
      </c>
      <c r="B316">
        <v>2024</v>
      </c>
      <c r="C316">
        <v>2</v>
      </c>
      <c r="D316">
        <v>1</v>
      </c>
      <c r="E316" t="s">
        <v>30</v>
      </c>
      <c r="F316" t="s">
        <v>12</v>
      </c>
      <c r="G316" t="s">
        <v>20</v>
      </c>
      <c r="H316" t="s">
        <v>21</v>
      </c>
      <c r="I316">
        <v>13</v>
      </c>
      <c r="J316">
        <v>167</v>
      </c>
      <c r="K316">
        <v>2171</v>
      </c>
      <c r="L316" t="str">
        <f>IF(tblVendas[[#This Row],[regiao]]="", "Não informado", tblVendas[[#This Row],[regiao]])</f>
        <v>Centro-Oeste</v>
      </c>
      <c r="M316" t="str">
        <f>IF(tblVendas[[#This Row],[categoria]]="", "Outros", tblVendas[[#This Row],[categoria]])</f>
        <v>Calçados</v>
      </c>
      <c r="N316">
        <f>IF(tblVendas[[#This Row],[valor_total]]&lt;0, MEDIAN(tblVendas[valor_total]), tblVendas[[#This Row],[valor_total]])</f>
        <v>2171</v>
      </c>
    </row>
    <row r="317" spans="1:14" x14ac:dyDescent="0.25">
      <c r="A317" s="1">
        <v>45555</v>
      </c>
      <c r="B317">
        <v>2024</v>
      </c>
      <c r="C317">
        <v>9</v>
      </c>
      <c r="D317">
        <v>3</v>
      </c>
      <c r="E317" t="s">
        <v>33</v>
      </c>
      <c r="F317" t="s">
        <v>19</v>
      </c>
      <c r="G317" t="s">
        <v>13</v>
      </c>
      <c r="H317" t="s">
        <v>29</v>
      </c>
      <c r="I317">
        <v>13</v>
      </c>
      <c r="J317">
        <v>71</v>
      </c>
      <c r="K317">
        <v>923</v>
      </c>
      <c r="L317" t="str">
        <f>IF(tblVendas[[#This Row],[regiao]]="", "Não informado", tblVendas[[#This Row],[regiao]])</f>
        <v>Oeste</v>
      </c>
      <c r="M317" t="str">
        <f>IF(tblVendas[[#This Row],[categoria]]="", "Outros", tblVendas[[#This Row],[categoria]])</f>
        <v>Vestuário</v>
      </c>
      <c r="N317">
        <f>IF(tblVendas[[#This Row],[valor_total]]&lt;0, MEDIAN(tblVendas[valor_total]), tblVendas[[#This Row],[valor_total]])</f>
        <v>923</v>
      </c>
    </row>
    <row r="318" spans="1:14" x14ac:dyDescent="0.25">
      <c r="A318" s="1">
        <v>45574</v>
      </c>
      <c r="B318">
        <v>2024</v>
      </c>
      <c r="C318">
        <v>10</v>
      </c>
      <c r="D318">
        <v>4</v>
      </c>
      <c r="E318" t="s">
        <v>18</v>
      </c>
      <c r="F318" t="s">
        <v>19</v>
      </c>
      <c r="G318" t="s">
        <v>28</v>
      </c>
      <c r="H318" t="s">
        <v>26</v>
      </c>
      <c r="I318">
        <v>2</v>
      </c>
      <c r="J318">
        <v>93</v>
      </c>
      <c r="K318">
        <v>186</v>
      </c>
      <c r="L318" t="str">
        <f>IF(tblVendas[[#This Row],[regiao]]="", "Não informado", tblVendas[[#This Row],[regiao]])</f>
        <v>Sul</v>
      </c>
      <c r="M318" t="str">
        <f>IF(tblVendas[[#This Row],[categoria]]="", "Outros", tblVendas[[#This Row],[categoria]])</f>
        <v>Vestuário</v>
      </c>
      <c r="N318">
        <f>IF(tblVendas[[#This Row],[valor_total]]&lt;0, MEDIAN(tblVendas[valor_total]), tblVendas[[#This Row],[valor_total]])</f>
        <v>186</v>
      </c>
    </row>
    <row r="319" spans="1:14" x14ac:dyDescent="0.25">
      <c r="A319" s="1">
        <v>45318</v>
      </c>
      <c r="B319">
        <v>2024</v>
      </c>
      <c r="C319">
        <v>1</v>
      </c>
      <c r="D319">
        <v>1</v>
      </c>
      <c r="E319" t="s">
        <v>30</v>
      </c>
      <c r="F319" t="s">
        <v>19</v>
      </c>
      <c r="G319" t="s">
        <v>24</v>
      </c>
      <c r="H319" t="s">
        <v>21</v>
      </c>
      <c r="I319">
        <v>4</v>
      </c>
      <c r="J319">
        <v>155</v>
      </c>
      <c r="K319">
        <v>620</v>
      </c>
      <c r="L319" t="str">
        <f>IF(tblVendas[[#This Row],[regiao]]="", "Não informado", tblVendas[[#This Row],[regiao]])</f>
        <v>Centro-Oeste</v>
      </c>
      <c r="M319" t="str">
        <f>IF(tblVendas[[#This Row],[categoria]]="", "Outros", tblVendas[[#This Row],[categoria]])</f>
        <v>Vestuário</v>
      </c>
      <c r="N319">
        <f>IF(tblVendas[[#This Row],[valor_total]]&lt;0, MEDIAN(tblVendas[valor_total]), tblVendas[[#This Row],[valor_total]])</f>
        <v>620</v>
      </c>
    </row>
    <row r="320" spans="1:14" x14ac:dyDescent="0.25">
      <c r="A320" s="1">
        <v>45517</v>
      </c>
      <c r="B320">
        <v>2024</v>
      </c>
      <c r="C320">
        <v>8</v>
      </c>
      <c r="D320">
        <v>3</v>
      </c>
      <c r="E320" t="s">
        <v>32</v>
      </c>
      <c r="F320" t="s">
        <v>23</v>
      </c>
      <c r="G320" t="s">
        <v>20</v>
      </c>
      <c r="H320" t="s">
        <v>29</v>
      </c>
      <c r="I320">
        <v>6</v>
      </c>
      <c r="J320">
        <v>50</v>
      </c>
      <c r="K320">
        <v>300</v>
      </c>
      <c r="L320" t="str">
        <f>IF(tblVendas[[#This Row],[regiao]]="", "Não informado", tblVendas[[#This Row],[regiao]])</f>
        <v>Oeste</v>
      </c>
      <c r="M320" t="str">
        <f>IF(tblVendas[[#This Row],[categoria]]="", "Outros", tblVendas[[#This Row],[categoria]])</f>
        <v>Acessórios</v>
      </c>
      <c r="N320">
        <f>IF(tblVendas[[#This Row],[valor_total]]&lt;0, MEDIAN(tblVendas[valor_total]), tblVendas[[#This Row],[valor_total]])</f>
        <v>300</v>
      </c>
    </row>
    <row r="321" spans="1:14" x14ac:dyDescent="0.25">
      <c r="A321" s="1">
        <v>45568</v>
      </c>
      <c r="B321">
        <v>2024</v>
      </c>
      <c r="C321">
        <v>10</v>
      </c>
      <c r="D321">
        <v>4</v>
      </c>
      <c r="E321" t="s">
        <v>31</v>
      </c>
      <c r="F321" t="s">
        <v>12</v>
      </c>
      <c r="G321" t="s">
        <v>13</v>
      </c>
      <c r="H321" t="s">
        <v>21</v>
      </c>
      <c r="I321">
        <v>5</v>
      </c>
      <c r="J321">
        <v>198</v>
      </c>
      <c r="K321">
        <v>990</v>
      </c>
      <c r="L321" t="str">
        <f>IF(tblVendas[[#This Row],[regiao]]="", "Não informado", tblVendas[[#This Row],[regiao]])</f>
        <v>Centro-Oeste</v>
      </c>
      <c r="M321" t="str">
        <f>IF(tblVendas[[#This Row],[categoria]]="", "Outros", tblVendas[[#This Row],[categoria]])</f>
        <v>Calçados</v>
      </c>
      <c r="N321">
        <f>IF(tblVendas[[#This Row],[valor_total]]&lt;0, MEDIAN(tblVendas[valor_total]), tblVendas[[#This Row],[valor_total]])</f>
        <v>990</v>
      </c>
    </row>
    <row r="322" spans="1:14" x14ac:dyDescent="0.25">
      <c r="A322" s="1">
        <v>45577</v>
      </c>
      <c r="B322">
        <v>2024</v>
      </c>
      <c r="C322">
        <v>10</v>
      </c>
      <c r="D322">
        <v>4</v>
      </c>
      <c r="E322" t="s">
        <v>15</v>
      </c>
      <c r="F322" t="s">
        <v>19</v>
      </c>
      <c r="G322" t="s">
        <v>20</v>
      </c>
      <c r="H322" t="s">
        <v>17</v>
      </c>
      <c r="I322">
        <v>3</v>
      </c>
      <c r="J322">
        <v>181</v>
      </c>
      <c r="K322">
        <v>543</v>
      </c>
      <c r="L322" t="str">
        <f>IF(tblVendas[[#This Row],[regiao]]="", "Não informado", tblVendas[[#This Row],[regiao]])</f>
        <v>Leste</v>
      </c>
      <c r="M322" t="str">
        <f>IF(tblVendas[[#This Row],[categoria]]="", "Outros", tblVendas[[#This Row],[categoria]])</f>
        <v>Vestuário</v>
      </c>
      <c r="N322">
        <f>IF(tblVendas[[#This Row],[valor_total]]&lt;0, MEDIAN(tblVendas[valor_total]), tblVendas[[#This Row],[valor_total]])</f>
        <v>543</v>
      </c>
    </row>
    <row r="323" spans="1:14" x14ac:dyDescent="0.25">
      <c r="A323" s="1">
        <v>45388</v>
      </c>
      <c r="B323">
        <v>2024</v>
      </c>
      <c r="C323">
        <v>4</v>
      </c>
      <c r="D323">
        <v>2</v>
      </c>
      <c r="E323" t="s">
        <v>18</v>
      </c>
      <c r="F323" t="s">
        <v>19</v>
      </c>
      <c r="G323" t="s">
        <v>24</v>
      </c>
      <c r="H323" t="s">
        <v>26</v>
      </c>
      <c r="I323">
        <v>1</v>
      </c>
      <c r="J323">
        <v>64</v>
      </c>
      <c r="K323">
        <v>64</v>
      </c>
      <c r="L323" t="str">
        <f>IF(tblVendas[[#This Row],[regiao]]="", "Não informado", tblVendas[[#This Row],[regiao]])</f>
        <v>Sul</v>
      </c>
      <c r="M323" t="str">
        <f>IF(tblVendas[[#This Row],[categoria]]="", "Outros", tblVendas[[#This Row],[categoria]])</f>
        <v>Vestuário</v>
      </c>
      <c r="N323">
        <f>IF(tblVendas[[#This Row],[valor_total]]&lt;0, MEDIAN(tblVendas[valor_total]), tblVendas[[#This Row],[valor_total]])</f>
        <v>64</v>
      </c>
    </row>
    <row r="324" spans="1:14" x14ac:dyDescent="0.25">
      <c r="A324" s="1">
        <v>45575</v>
      </c>
      <c r="B324">
        <v>2024</v>
      </c>
      <c r="C324">
        <v>10</v>
      </c>
      <c r="D324">
        <v>4</v>
      </c>
      <c r="E324" t="s">
        <v>31</v>
      </c>
      <c r="F324" t="s">
        <v>12</v>
      </c>
      <c r="G324" t="s">
        <v>24</v>
      </c>
      <c r="H324" t="s">
        <v>29</v>
      </c>
      <c r="I324">
        <v>4</v>
      </c>
      <c r="J324">
        <v>59</v>
      </c>
      <c r="K324">
        <v>236</v>
      </c>
      <c r="L324" t="str">
        <f>IF(tblVendas[[#This Row],[regiao]]="", "Não informado", tblVendas[[#This Row],[regiao]])</f>
        <v>Oeste</v>
      </c>
      <c r="M324" t="str">
        <f>IF(tblVendas[[#This Row],[categoria]]="", "Outros", tblVendas[[#This Row],[categoria]])</f>
        <v>Calçados</v>
      </c>
      <c r="N324">
        <f>IF(tblVendas[[#This Row],[valor_total]]&lt;0, MEDIAN(tblVendas[valor_total]), tblVendas[[#This Row],[valor_total]])</f>
        <v>236</v>
      </c>
    </row>
    <row r="325" spans="1:14" x14ac:dyDescent="0.25">
      <c r="A325" s="1">
        <v>45608</v>
      </c>
      <c r="B325">
        <v>2024</v>
      </c>
      <c r="C325">
        <v>11</v>
      </c>
      <c r="D325">
        <v>4</v>
      </c>
      <c r="E325" t="s">
        <v>32</v>
      </c>
      <c r="F325" t="s">
        <v>19</v>
      </c>
      <c r="G325" t="s">
        <v>16</v>
      </c>
      <c r="H325" t="s">
        <v>17</v>
      </c>
      <c r="I325">
        <v>2</v>
      </c>
      <c r="J325">
        <v>86</v>
      </c>
      <c r="K325">
        <v>172</v>
      </c>
      <c r="L325" t="str">
        <f>IF(tblVendas[[#This Row],[regiao]]="", "Não informado", tblVendas[[#This Row],[regiao]])</f>
        <v>Leste</v>
      </c>
      <c r="M325" t="str">
        <f>IF(tblVendas[[#This Row],[categoria]]="", "Outros", tblVendas[[#This Row],[categoria]])</f>
        <v>Vestuário</v>
      </c>
      <c r="N325">
        <f>IF(tblVendas[[#This Row],[valor_total]]&lt;0, MEDIAN(tblVendas[valor_total]), tblVendas[[#This Row],[valor_total]])</f>
        <v>172</v>
      </c>
    </row>
    <row r="326" spans="1:14" x14ac:dyDescent="0.25">
      <c r="A326" s="1">
        <v>45595</v>
      </c>
      <c r="B326">
        <v>2024</v>
      </c>
      <c r="C326">
        <v>10</v>
      </c>
      <c r="D326">
        <v>4</v>
      </c>
      <c r="E326" t="s">
        <v>31</v>
      </c>
      <c r="F326" t="s">
        <v>12</v>
      </c>
      <c r="G326" t="s">
        <v>28</v>
      </c>
      <c r="H326" t="s">
        <v>17</v>
      </c>
      <c r="I326">
        <v>5</v>
      </c>
      <c r="J326">
        <v>76</v>
      </c>
      <c r="K326">
        <v>380</v>
      </c>
      <c r="L326" t="str">
        <f>IF(tblVendas[[#This Row],[regiao]]="", "Não informado", tblVendas[[#This Row],[regiao]])</f>
        <v>Leste</v>
      </c>
      <c r="M326" t="str">
        <f>IF(tblVendas[[#This Row],[categoria]]="", "Outros", tblVendas[[#This Row],[categoria]])</f>
        <v>Calçados</v>
      </c>
      <c r="N326">
        <f>IF(tblVendas[[#This Row],[valor_total]]&lt;0, MEDIAN(tblVendas[valor_total]), tblVendas[[#This Row],[valor_total]])</f>
        <v>380</v>
      </c>
    </row>
    <row r="327" spans="1:14" x14ac:dyDescent="0.25">
      <c r="A327" s="1">
        <v>45438</v>
      </c>
      <c r="B327">
        <v>2024</v>
      </c>
      <c r="C327">
        <v>5</v>
      </c>
      <c r="D327">
        <v>2</v>
      </c>
      <c r="E327" t="s">
        <v>32</v>
      </c>
      <c r="F327" t="s">
        <v>12</v>
      </c>
      <c r="G327" t="s">
        <v>16</v>
      </c>
      <c r="H327" t="s">
        <v>21</v>
      </c>
      <c r="I327">
        <v>3</v>
      </c>
      <c r="J327">
        <v>192</v>
      </c>
      <c r="K327">
        <v>576</v>
      </c>
      <c r="L327" t="str">
        <f>IF(tblVendas[[#This Row],[regiao]]="", "Não informado", tblVendas[[#This Row],[regiao]])</f>
        <v>Centro-Oeste</v>
      </c>
      <c r="M327" t="str">
        <f>IF(tblVendas[[#This Row],[categoria]]="", "Outros", tblVendas[[#This Row],[categoria]])</f>
        <v>Calçados</v>
      </c>
      <c r="N327">
        <f>IF(tblVendas[[#This Row],[valor_total]]&lt;0, MEDIAN(tblVendas[valor_total]), tblVendas[[#This Row],[valor_total]])</f>
        <v>576</v>
      </c>
    </row>
    <row r="328" spans="1:14" x14ac:dyDescent="0.25">
      <c r="A328" s="1">
        <v>45295</v>
      </c>
      <c r="B328">
        <v>2024</v>
      </c>
      <c r="C328">
        <v>1</v>
      </c>
      <c r="D328">
        <v>1</v>
      </c>
      <c r="E328" t="s">
        <v>32</v>
      </c>
      <c r="F328" t="s">
        <v>12</v>
      </c>
      <c r="G328" t="s">
        <v>13</v>
      </c>
      <c r="H328" t="s">
        <v>17</v>
      </c>
      <c r="I328">
        <v>9</v>
      </c>
      <c r="J328">
        <v>48</v>
      </c>
      <c r="K328">
        <v>432</v>
      </c>
      <c r="L328" t="str">
        <f>IF(tblVendas[[#This Row],[regiao]]="", "Não informado", tblVendas[[#This Row],[regiao]])</f>
        <v>Leste</v>
      </c>
      <c r="M328" t="str">
        <f>IF(tblVendas[[#This Row],[categoria]]="", "Outros", tblVendas[[#This Row],[categoria]])</f>
        <v>Calçados</v>
      </c>
      <c r="N328">
        <f>IF(tblVendas[[#This Row],[valor_total]]&lt;0, MEDIAN(tblVendas[valor_total]), tblVendas[[#This Row],[valor_total]])</f>
        <v>432</v>
      </c>
    </row>
    <row r="329" spans="1:14" x14ac:dyDescent="0.25">
      <c r="A329" s="1">
        <v>45326</v>
      </c>
      <c r="B329">
        <v>2024</v>
      </c>
      <c r="C329">
        <v>2</v>
      </c>
      <c r="D329">
        <v>1</v>
      </c>
      <c r="E329" t="s">
        <v>33</v>
      </c>
      <c r="F329" t="s">
        <v>12</v>
      </c>
      <c r="G329" t="s">
        <v>20</v>
      </c>
      <c r="H329" t="s">
        <v>26</v>
      </c>
      <c r="I329">
        <v>6</v>
      </c>
      <c r="J329">
        <v>143</v>
      </c>
      <c r="K329">
        <v>858</v>
      </c>
      <c r="L329" t="str">
        <f>IF(tblVendas[[#This Row],[regiao]]="", "Não informado", tblVendas[[#This Row],[regiao]])</f>
        <v>Sul</v>
      </c>
      <c r="M329" t="str">
        <f>IF(tblVendas[[#This Row],[categoria]]="", "Outros", tblVendas[[#This Row],[categoria]])</f>
        <v>Calçados</v>
      </c>
      <c r="N329">
        <f>IF(tblVendas[[#This Row],[valor_total]]&lt;0, MEDIAN(tblVendas[valor_total]), tblVendas[[#This Row],[valor_total]])</f>
        <v>858</v>
      </c>
    </row>
    <row r="330" spans="1:14" x14ac:dyDescent="0.25">
      <c r="A330" s="1">
        <v>45483</v>
      </c>
      <c r="B330">
        <v>2024</v>
      </c>
      <c r="C330">
        <v>7</v>
      </c>
      <c r="D330">
        <v>3</v>
      </c>
      <c r="E330" t="s">
        <v>25</v>
      </c>
      <c r="F330" t="s">
        <v>12</v>
      </c>
      <c r="G330" t="s">
        <v>13</v>
      </c>
      <c r="H330" t="s">
        <v>26</v>
      </c>
      <c r="I330">
        <v>18</v>
      </c>
      <c r="J330">
        <v>37</v>
      </c>
      <c r="K330">
        <v>666</v>
      </c>
      <c r="L330" t="str">
        <f>IF(tblVendas[[#This Row],[regiao]]="", "Não informado", tblVendas[[#This Row],[regiao]])</f>
        <v>Sul</v>
      </c>
      <c r="M330" t="str">
        <f>IF(tblVendas[[#This Row],[categoria]]="", "Outros", tblVendas[[#This Row],[categoria]])</f>
        <v>Calçados</v>
      </c>
      <c r="N330">
        <f>IF(tblVendas[[#This Row],[valor_total]]&lt;0, MEDIAN(tblVendas[valor_total]), tblVendas[[#This Row],[valor_total]])</f>
        <v>666</v>
      </c>
    </row>
    <row r="331" spans="1:14" x14ac:dyDescent="0.25">
      <c r="A331" s="1">
        <v>45340</v>
      </c>
      <c r="B331">
        <v>2024</v>
      </c>
      <c r="C331">
        <v>2</v>
      </c>
      <c r="D331">
        <v>1</v>
      </c>
      <c r="E331" t="s">
        <v>18</v>
      </c>
      <c r="F331" t="s">
        <v>23</v>
      </c>
      <c r="G331" t="s">
        <v>24</v>
      </c>
      <c r="H331" t="s">
        <v>14</v>
      </c>
      <c r="I331">
        <v>6</v>
      </c>
      <c r="J331">
        <v>55</v>
      </c>
      <c r="K331">
        <v>330</v>
      </c>
      <c r="L331" t="str">
        <f>IF(tblVendas[[#This Row],[regiao]]="", "Não informado", tblVendas[[#This Row],[regiao]])</f>
        <v>Norte</v>
      </c>
      <c r="M331" t="str">
        <f>IF(tblVendas[[#This Row],[categoria]]="", "Outros", tblVendas[[#This Row],[categoria]])</f>
        <v>Acessórios</v>
      </c>
      <c r="N331">
        <f>IF(tblVendas[[#This Row],[valor_total]]&lt;0, MEDIAN(tblVendas[valor_total]), tblVendas[[#This Row],[valor_total]])</f>
        <v>330</v>
      </c>
    </row>
    <row r="332" spans="1:14" x14ac:dyDescent="0.25">
      <c r="A332" s="1">
        <v>45308</v>
      </c>
      <c r="B332">
        <v>2024</v>
      </c>
      <c r="C332">
        <v>1</v>
      </c>
      <c r="D332">
        <v>1</v>
      </c>
      <c r="E332" t="s">
        <v>31</v>
      </c>
      <c r="F332" t="s">
        <v>19</v>
      </c>
      <c r="G332" t="s">
        <v>16</v>
      </c>
      <c r="H332" t="s">
        <v>26</v>
      </c>
      <c r="I332">
        <v>19</v>
      </c>
      <c r="J332">
        <v>142</v>
      </c>
      <c r="K332">
        <v>2698</v>
      </c>
      <c r="L332" t="str">
        <f>IF(tblVendas[[#This Row],[regiao]]="", "Não informado", tblVendas[[#This Row],[regiao]])</f>
        <v>Sul</v>
      </c>
      <c r="M332" t="str">
        <f>IF(tblVendas[[#This Row],[categoria]]="", "Outros", tblVendas[[#This Row],[categoria]])</f>
        <v>Vestuário</v>
      </c>
      <c r="N332">
        <f>IF(tblVendas[[#This Row],[valor_total]]&lt;0, MEDIAN(tblVendas[valor_total]), tblVendas[[#This Row],[valor_total]])</f>
        <v>2698</v>
      </c>
    </row>
    <row r="333" spans="1:14" x14ac:dyDescent="0.25">
      <c r="A333" s="1">
        <v>45463</v>
      </c>
      <c r="B333">
        <v>2024</v>
      </c>
      <c r="C333">
        <v>6</v>
      </c>
      <c r="D333">
        <v>2</v>
      </c>
      <c r="E333" t="s">
        <v>22</v>
      </c>
      <c r="F333" t="s">
        <v>23</v>
      </c>
      <c r="G333" t="s">
        <v>16</v>
      </c>
      <c r="H333" t="s">
        <v>17</v>
      </c>
      <c r="I333">
        <v>12</v>
      </c>
      <c r="J333">
        <v>100</v>
      </c>
      <c r="K333">
        <v>1200</v>
      </c>
      <c r="L333" t="str">
        <f>IF(tblVendas[[#This Row],[regiao]]="", "Não informado", tblVendas[[#This Row],[regiao]])</f>
        <v>Leste</v>
      </c>
      <c r="M333" t="str">
        <f>IF(tblVendas[[#This Row],[categoria]]="", "Outros", tblVendas[[#This Row],[categoria]])</f>
        <v>Acessórios</v>
      </c>
      <c r="N333">
        <f>IF(tblVendas[[#This Row],[valor_total]]&lt;0, MEDIAN(tblVendas[valor_total]), tblVendas[[#This Row],[valor_total]])</f>
        <v>1200</v>
      </c>
    </row>
    <row r="334" spans="1:14" x14ac:dyDescent="0.25">
      <c r="A334" s="1">
        <v>45511</v>
      </c>
      <c r="B334">
        <v>2024</v>
      </c>
      <c r="C334">
        <v>8</v>
      </c>
      <c r="D334">
        <v>3</v>
      </c>
      <c r="E334" t="s">
        <v>18</v>
      </c>
      <c r="F334" t="s">
        <v>19</v>
      </c>
      <c r="G334" t="s">
        <v>16</v>
      </c>
      <c r="H334" t="s">
        <v>26</v>
      </c>
      <c r="I334">
        <v>11</v>
      </c>
      <c r="J334">
        <v>59</v>
      </c>
      <c r="K334">
        <v>649</v>
      </c>
      <c r="L334" t="str">
        <f>IF(tblVendas[[#This Row],[regiao]]="", "Não informado", tblVendas[[#This Row],[regiao]])</f>
        <v>Sul</v>
      </c>
      <c r="M334" t="str">
        <f>IF(tblVendas[[#This Row],[categoria]]="", "Outros", tblVendas[[#This Row],[categoria]])</f>
        <v>Vestuário</v>
      </c>
      <c r="N334">
        <f>IF(tblVendas[[#This Row],[valor_total]]&lt;0, MEDIAN(tblVendas[valor_total]), tblVendas[[#This Row],[valor_total]])</f>
        <v>649</v>
      </c>
    </row>
    <row r="335" spans="1:14" x14ac:dyDescent="0.25">
      <c r="A335" s="1">
        <v>45449</v>
      </c>
      <c r="B335">
        <v>2024</v>
      </c>
      <c r="C335">
        <v>6</v>
      </c>
      <c r="D335">
        <v>2</v>
      </c>
      <c r="E335" t="s">
        <v>25</v>
      </c>
      <c r="F335" t="s">
        <v>23</v>
      </c>
      <c r="G335" t="s">
        <v>13</v>
      </c>
      <c r="H335" t="s">
        <v>21</v>
      </c>
      <c r="I335">
        <v>2</v>
      </c>
      <c r="J335">
        <v>164</v>
      </c>
      <c r="K335">
        <v>328</v>
      </c>
      <c r="L335" t="str">
        <f>IF(tblVendas[[#This Row],[regiao]]="", "Não informado", tblVendas[[#This Row],[regiao]])</f>
        <v>Centro-Oeste</v>
      </c>
      <c r="M335" t="str">
        <f>IF(tblVendas[[#This Row],[categoria]]="", "Outros", tblVendas[[#This Row],[categoria]])</f>
        <v>Acessórios</v>
      </c>
      <c r="N335">
        <f>IF(tblVendas[[#This Row],[valor_total]]&lt;0, MEDIAN(tblVendas[valor_total]), tblVendas[[#This Row],[valor_total]])</f>
        <v>328</v>
      </c>
    </row>
    <row r="336" spans="1:14" x14ac:dyDescent="0.25">
      <c r="A336" s="1">
        <v>45337</v>
      </c>
      <c r="B336">
        <v>2024</v>
      </c>
      <c r="C336">
        <v>2</v>
      </c>
      <c r="D336">
        <v>1</v>
      </c>
      <c r="E336" t="s">
        <v>18</v>
      </c>
      <c r="F336" t="s">
        <v>12</v>
      </c>
      <c r="G336" t="s">
        <v>24</v>
      </c>
      <c r="H336" t="s">
        <v>14</v>
      </c>
      <c r="I336">
        <v>15</v>
      </c>
      <c r="J336">
        <v>96</v>
      </c>
      <c r="K336">
        <v>1440</v>
      </c>
      <c r="L336" t="str">
        <f>IF(tblVendas[[#This Row],[regiao]]="", "Não informado", tblVendas[[#This Row],[regiao]])</f>
        <v>Norte</v>
      </c>
      <c r="M336" t="str">
        <f>IF(tblVendas[[#This Row],[categoria]]="", "Outros", tblVendas[[#This Row],[categoria]])</f>
        <v>Calçados</v>
      </c>
      <c r="N336">
        <f>IF(tblVendas[[#This Row],[valor_total]]&lt;0, MEDIAN(tblVendas[valor_total]), tblVendas[[#This Row],[valor_total]])</f>
        <v>1440</v>
      </c>
    </row>
    <row r="337" spans="1:14" x14ac:dyDescent="0.25">
      <c r="A337" s="1">
        <v>45297</v>
      </c>
      <c r="B337">
        <v>2024</v>
      </c>
      <c r="C337">
        <v>1</v>
      </c>
      <c r="D337">
        <v>1</v>
      </c>
      <c r="E337" t="s">
        <v>27</v>
      </c>
      <c r="F337" t="s">
        <v>19</v>
      </c>
      <c r="G337" t="s">
        <v>20</v>
      </c>
      <c r="H337" t="s">
        <v>17</v>
      </c>
      <c r="I337">
        <v>12</v>
      </c>
      <c r="J337">
        <v>94</v>
      </c>
      <c r="K337">
        <v>1128</v>
      </c>
      <c r="L337" t="str">
        <f>IF(tblVendas[[#This Row],[regiao]]="", "Não informado", tblVendas[[#This Row],[regiao]])</f>
        <v>Leste</v>
      </c>
      <c r="M337" t="str">
        <f>IF(tblVendas[[#This Row],[categoria]]="", "Outros", tblVendas[[#This Row],[categoria]])</f>
        <v>Vestuário</v>
      </c>
      <c r="N337">
        <f>IF(tblVendas[[#This Row],[valor_total]]&lt;0, MEDIAN(tblVendas[valor_total]), tblVendas[[#This Row],[valor_total]])</f>
        <v>1128</v>
      </c>
    </row>
    <row r="338" spans="1:14" x14ac:dyDescent="0.25">
      <c r="A338" s="1">
        <v>45390</v>
      </c>
      <c r="B338">
        <v>2024</v>
      </c>
      <c r="C338">
        <v>4</v>
      </c>
      <c r="D338">
        <v>2</v>
      </c>
      <c r="E338" t="s">
        <v>22</v>
      </c>
      <c r="F338" t="s">
        <v>19</v>
      </c>
      <c r="G338" t="s">
        <v>20</v>
      </c>
      <c r="H338" t="s">
        <v>14</v>
      </c>
      <c r="I338">
        <v>12</v>
      </c>
      <c r="J338">
        <v>65</v>
      </c>
      <c r="K338">
        <v>780</v>
      </c>
      <c r="L338" t="str">
        <f>IF(tblVendas[[#This Row],[regiao]]="", "Não informado", tblVendas[[#This Row],[regiao]])</f>
        <v>Norte</v>
      </c>
      <c r="M338" t="str">
        <f>IF(tblVendas[[#This Row],[categoria]]="", "Outros", tblVendas[[#This Row],[categoria]])</f>
        <v>Vestuário</v>
      </c>
      <c r="N338">
        <f>IF(tblVendas[[#This Row],[valor_total]]&lt;0, MEDIAN(tblVendas[valor_total]), tblVendas[[#This Row],[valor_total]])</f>
        <v>780</v>
      </c>
    </row>
    <row r="339" spans="1:14" x14ac:dyDescent="0.25">
      <c r="A339" s="1">
        <v>45524</v>
      </c>
      <c r="B339">
        <v>2024</v>
      </c>
      <c r="C339">
        <v>8</v>
      </c>
      <c r="D339">
        <v>3</v>
      </c>
      <c r="E339" t="s">
        <v>25</v>
      </c>
      <c r="F339" t="s">
        <v>23</v>
      </c>
      <c r="G339" t="s">
        <v>13</v>
      </c>
      <c r="H339" t="s">
        <v>17</v>
      </c>
      <c r="I339">
        <v>9</v>
      </c>
      <c r="J339">
        <v>54</v>
      </c>
      <c r="K339">
        <v>486</v>
      </c>
      <c r="L339" t="str">
        <f>IF(tblVendas[[#This Row],[regiao]]="", "Não informado", tblVendas[[#This Row],[regiao]])</f>
        <v>Leste</v>
      </c>
      <c r="M339" t="str">
        <f>IF(tblVendas[[#This Row],[categoria]]="", "Outros", tblVendas[[#This Row],[categoria]])</f>
        <v>Acessórios</v>
      </c>
      <c r="N339">
        <f>IF(tblVendas[[#This Row],[valor_total]]&lt;0, MEDIAN(tblVendas[valor_total]), tblVendas[[#This Row],[valor_total]])</f>
        <v>486</v>
      </c>
    </row>
    <row r="340" spans="1:14" x14ac:dyDescent="0.25">
      <c r="A340" s="1">
        <v>45328</v>
      </c>
      <c r="B340">
        <v>2024</v>
      </c>
      <c r="C340">
        <v>2</v>
      </c>
      <c r="D340">
        <v>1</v>
      </c>
      <c r="E340" t="s">
        <v>33</v>
      </c>
      <c r="F340" t="s">
        <v>23</v>
      </c>
      <c r="G340" t="s">
        <v>16</v>
      </c>
      <c r="H340" t="s">
        <v>21</v>
      </c>
      <c r="I340">
        <v>2</v>
      </c>
      <c r="J340">
        <v>66</v>
      </c>
      <c r="K340">
        <v>132</v>
      </c>
      <c r="L340" t="str">
        <f>IF(tblVendas[[#This Row],[regiao]]="", "Não informado", tblVendas[[#This Row],[regiao]])</f>
        <v>Centro-Oeste</v>
      </c>
      <c r="M340" t="str">
        <f>IF(tblVendas[[#This Row],[categoria]]="", "Outros", tblVendas[[#This Row],[categoria]])</f>
        <v>Acessórios</v>
      </c>
      <c r="N340">
        <f>IF(tblVendas[[#This Row],[valor_total]]&lt;0, MEDIAN(tblVendas[valor_total]), tblVendas[[#This Row],[valor_total]])</f>
        <v>132</v>
      </c>
    </row>
    <row r="341" spans="1:14" x14ac:dyDescent="0.25">
      <c r="A341" s="1">
        <v>45571</v>
      </c>
      <c r="B341">
        <v>2024</v>
      </c>
      <c r="C341">
        <v>10</v>
      </c>
      <c r="D341">
        <v>4</v>
      </c>
      <c r="E341" t="s">
        <v>31</v>
      </c>
      <c r="F341" t="s">
        <v>19</v>
      </c>
      <c r="G341" t="s">
        <v>28</v>
      </c>
      <c r="H341" t="s">
        <v>14</v>
      </c>
      <c r="I341">
        <v>3</v>
      </c>
      <c r="J341">
        <v>30</v>
      </c>
      <c r="K341">
        <v>90</v>
      </c>
      <c r="L341" t="str">
        <f>IF(tblVendas[[#This Row],[regiao]]="", "Não informado", tblVendas[[#This Row],[regiao]])</f>
        <v>Norte</v>
      </c>
      <c r="M341" t="str">
        <f>IF(tblVendas[[#This Row],[categoria]]="", "Outros", tblVendas[[#This Row],[categoria]])</f>
        <v>Vestuário</v>
      </c>
      <c r="N341">
        <f>IF(tblVendas[[#This Row],[valor_total]]&lt;0, MEDIAN(tblVendas[valor_total]), tblVendas[[#This Row],[valor_total]])</f>
        <v>90</v>
      </c>
    </row>
    <row r="342" spans="1:14" x14ac:dyDescent="0.25">
      <c r="A342" s="1">
        <v>45640</v>
      </c>
      <c r="B342">
        <v>2024</v>
      </c>
      <c r="C342">
        <v>12</v>
      </c>
      <c r="D342">
        <v>4</v>
      </c>
      <c r="E342" t="s">
        <v>11</v>
      </c>
      <c r="F342" t="s">
        <v>23</v>
      </c>
      <c r="G342" t="s">
        <v>13</v>
      </c>
      <c r="H342" t="s">
        <v>29</v>
      </c>
      <c r="I342">
        <v>12</v>
      </c>
      <c r="J342">
        <v>172</v>
      </c>
      <c r="K342">
        <v>2064</v>
      </c>
      <c r="L342" t="str">
        <f>IF(tblVendas[[#This Row],[regiao]]="", "Não informado", tblVendas[[#This Row],[regiao]])</f>
        <v>Oeste</v>
      </c>
      <c r="M342" t="str">
        <f>IF(tblVendas[[#This Row],[categoria]]="", "Outros", tblVendas[[#This Row],[categoria]])</f>
        <v>Acessórios</v>
      </c>
      <c r="N342">
        <f>IF(tblVendas[[#This Row],[valor_total]]&lt;0, MEDIAN(tblVendas[valor_total]), tblVendas[[#This Row],[valor_total]])</f>
        <v>2064</v>
      </c>
    </row>
    <row r="343" spans="1:14" x14ac:dyDescent="0.25">
      <c r="A343" s="1">
        <v>45593</v>
      </c>
      <c r="B343">
        <v>2024</v>
      </c>
      <c r="C343">
        <v>10</v>
      </c>
      <c r="D343">
        <v>4</v>
      </c>
      <c r="E343" t="s">
        <v>25</v>
      </c>
      <c r="F343" t="s">
        <v>23</v>
      </c>
      <c r="G343" t="s">
        <v>13</v>
      </c>
      <c r="H343" t="s">
        <v>17</v>
      </c>
      <c r="I343">
        <v>16</v>
      </c>
      <c r="J343">
        <v>66</v>
      </c>
      <c r="K343">
        <v>1056</v>
      </c>
      <c r="L343" t="str">
        <f>IF(tblVendas[[#This Row],[regiao]]="", "Não informado", tblVendas[[#This Row],[regiao]])</f>
        <v>Leste</v>
      </c>
      <c r="M343" t="str">
        <f>IF(tblVendas[[#This Row],[categoria]]="", "Outros", tblVendas[[#This Row],[categoria]])</f>
        <v>Acessórios</v>
      </c>
      <c r="N343">
        <f>IF(tblVendas[[#This Row],[valor_total]]&lt;0, MEDIAN(tblVendas[valor_total]), tblVendas[[#This Row],[valor_total]])</f>
        <v>1056</v>
      </c>
    </row>
    <row r="344" spans="1:14" x14ac:dyDescent="0.25">
      <c r="A344" s="1">
        <v>45472</v>
      </c>
      <c r="B344">
        <v>2024</v>
      </c>
      <c r="C344">
        <v>6</v>
      </c>
      <c r="D344">
        <v>2</v>
      </c>
      <c r="E344" t="s">
        <v>15</v>
      </c>
      <c r="F344" t="s">
        <v>23</v>
      </c>
      <c r="G344" t="s">
        <v>24</v>
      </c>
      <c r="H344" t="s">
        <v>29</v>
      </c>
      <c r="I344">
        <v>1</v>
      </c>
      <c r="J344">
        <v>170</v>
      </c>
      <c r="K344">
        <v>170</v>
      </c>
      <c r="L344" t="str">
        <f>IF(tblVendas[[#This Row],[regiao]]="", "Não informado", tblVendas[[#This Row],[regiao]])</f>
        <v>Oeste</v>
      </c>
      <c r="M344" t="str">
        <f>IF(tblVendas[[#This Row],[categoria]]="", "Outros", tblVendas[[#This Row],[categoria]])</f>
        <v>Acessórios</v>
      </c>
      <c r="N344">
        <f>IF(tblVendas[[#This Row],[valor_total]]&lt;0, MEDIAN(tblVendas[valor_total]), tblVendas[[#This Row],[valor_total]])</f>
        <v>170</v>
      </c>
    </row>
    <row r="345" spans="1:14" x14ac:dyDescent="0.25">
      <c r="A345" s="1">
        <v>45386</v>
      </c>
      <c r="B345">
        <v>2024</v>
      </c>
      <c r="C345">
        <v>4</v>
      </c>
      <c r="D345">
        <v>2</v>
      </c>
      <c r="E345" t="s">
        <v>31</v>
      </c>
      <c r="F345" t="s">
        <v>12</v>
      </c>
      <c r="G345" t="s">
        <v>20</v>
      </c>
      <c r="H345" t="s">
        <v>14</v>
      </c>
      <c r="I345">
        <v>3</v>
      </c>
      <c r="J345">
        <v>165</v>
      </c>
      <c r="K345">
        <v>495</v>
      </c>
      <c r="L345" t="str">
        <f>IF(tblVendas[[#This Row],[regiao]]="", "Não informado", tblVendas[[#This Row],[regiao]])</f>
        <v>Norte</v>
      </c>
      <c r="M345" t="str">
        <f>IF(tblVendas[[#This Row],[categoria]]="", "Outros", tblVendas[[#This Row],[categoria]])</f>
        <v>Calçados</v>
      </c>
      <c r="N345">
        <f>IF(tblVendas[[#This Row],[valor_total]]&lt;0, MEDIAN(tblVendas[valor_total]), tblVendas[[#This Row],[valor_total]])</f>
        <v>495</v>
      </c>
    </row>
    <row r="346" spans="1:14" x14ac:dyDescent="0.25">
      <c r="A346" s="1">
        <v>45390</v>
      </c>
      <c r="B346">
        <v>2024</v>
      </c>
      <c r="C346">
        <v>4</v>
      </c>
      <c r="D346">
        <v>2</v>
      </c>
      <c r="E346" t="s">
        <v>25</v>
      </c>
      <c r="F346" t="s">
        <v>12</v>
      </c>
      <c r="G346" t="s">
        <v>13</v>
      </c>
      <c r="H346" t="s">
        <v>29</v>
      </c>
      <c r="I346">
        <v>2</v>
      </c>
      <c r="J346">
        <v>162</v>
      </c>
      <c r="K346">
        <v>324</v>
      </c>
      <c r="L346" t="str">
        <f>IF(tblVendas[[#This Row],[regiao]]="", "Não informado", tblVendas[[#This Row],[regiao]])</f>
        <v>Oeste</v>
      </c>
      <c r="M346" t="str">
        <f>IF(tblVendas[[#This Row],[categoria]]="", "Outros", tblVendas[[#This Row],[categoria]])</f>
        <v>Calçados</v>
      </c>
      <c r="N346">
        <f>IF(tblVendas[[#This Row],[valor_total]]&lt;0, MEDIAN(tblVendas[valor_total]), tblVendas[[#This Row],[valor_total]])</f>
        <v>324</v>
      </c>
    </row>
    <row r="347" spans="1:14" x14ac:dyDescent="0.25">
      <c r="A347" s="1">
        <v>45479</v>
      </c>
      <c r="B347">
        <v>2024</v>
      </c>
      <c r="C347">
        <v>7</v>
      </c>
      <c r="D347">
        <v>3</v>
      </c>
      <c r="E347" t="s">
        <v>27</v>
      </c>
      <c r="F347" t="s">
        <v>23</v>
      </c>
      <c r="G347" t="s">
        <v>13</v>
      </c>
      <c r="H347" t="s">
        <v>29</v>
      </c>
      <c r="I347">
        <v>9</v>
      </c>
      <c r="J347">
        <v>157</v>
      </c>
      <c r="K347">
        <v>1413</v>
      </c>
      <c r="L347" t="str">
        <f>IF(tblVendas[[#This Row],[regiao]]="", "Não informado", tblVendas[[#This Row],[regiao]])</f>
        <v>Oeste</v>
      </c>
      <c r="M347" t="str">
        <f>IF(tblVendas[[#This Row],[categoria]]="", "Outros", tblVendas[[#This Row],[categoria]])</f>
        <v>Acessórios</v>
      </c>
      <c r="N347">
        <f>IF(tblVendas[[#This Row],[valor_total]]&lt;0, MEDIAN(tblVendas[valor_total]), tblVendas[[#This Row],[valor_total]])</f>
        <v>1413</v>
      </c>
    </row>
    <row r="348" spans="1:14" x14ac:dyDescent="0.25">
      <c r="A348" s="1">
        <v>45407</v>
      </c>
      <c r="B348">
        <v>2024</v>
      </c>
      <c r="C348">
        <v>4</v>
      </c>
      <c r="D348">
        <v>2</v>
      </c>
      <c r="E348" t="s">
        <v>11</v>
      </c>
      <c r="F348" t="s">
        <v>23</v>
      </c>
      <c r="G348" t="s">
        <v>16</v>
      </c>
      <c r="H348" t="s">
        <v>14</v>
      </c>
      <c r="I348">
        <v>19</v>
      </c>
      <c r="J348">
        <v>156</v>
      </c>
      <c r="K348">
        <v>2964</v>
      </c>
      <c r="L348" t="str">
        <f>IF(tblVendas[[#This Row],[regiao]]="", "Não informado", tblVendas[[#This Row],[regiao]])</f>
        <v>Norte</v>
      </c>
      <c r="M348" t="str">
        <f>IF(tblVendas[[#This Row],[categoria]]="", "Outros", tblVendas[[#This Row],[categoria]])</f>
        <v>Acessórios</v>
      </c>
      <c r="N348">
        <f>IF(tblVendas[[#This Row],[valor_total]]&lt;0, MEDIAN(tblVendas[valor_total]), tblVendas[[#This Row],[valor_total]])</f>
        <v>2964</v>
      </c>
    </row>
    <row r="349" spans="1:14" x14ac:dyDescent="0.25">
      <c r="A349" s="1">
        <v>45482</v>
      </c>
      <c r="B349">
        <v>2024</v>
      </c>
      <c r="C349">
        <v>7</v>
      </c>
      <c r="D349">
        <v>3</v>
      </c>
      <c r="E349" t="s">
        <v>27</v>
      </c>
      <c r="F349" t="s">
        <v>12</v>
      </c>
      <c r="G349" t="s">
        <v>16</v>
      </c>
      <c r="H349" t="s">
        <v>21</v>
      </c>
      <c r="I349">
        <v>15</v>
      </c>
      <c r="J349">
        <v>30</v>
      </c>
      <c r="K349">
        <v>450</v>
      </c>
      <c r="L349" t="str">
        <f>IF(tblVendas[[#This Row],[regiao]]="", "Não informado", tblVendas[[#This Row],[regiao]])</f>
        <v>Centro-Oeste</v>
      </c>
      <c r="M349" t="str">
        <f>IF(tblVendas[[#This Row],[categoria]]="", "Outros", tblVendas[[#This Row],[categoria]])</f>
        <v>Calçados</v>
      </c>
      <c r="N349">
        <f>IF(tblVendas[[#This Row],[valor_total]]&lt;0, MEDIAN(tblVendas[valor_total]), tblVendas[[#This Row],[valor_total]])</f>
        <v>450</v>
      </c>
    </row>
    <row r="350" spans="1:14" x14ac:dyDescent="0.25">
      <c r="A350" s="1">
        <v>45544</v>
      </c>
      <c r="B350">
        <v>2024</v>
      </c>
      <c r="C350">
        <v>9</v>
      </c>
      <c r="D350">
        <v>3</v>
      </c>
      <c r="E350" t="s">
        <v>11</v>
      </c>
      <c r="F350" t="s">
        <v>12</v>
      </c>
      <c r="G350" t="s">
        <v>28</v>
      </c>
      <c r="H350" t="s">
        <v>29</v>
      </c>
      <c r="I350">
        <v>18</v>
      </c>
      <c r="J350">
        <v>193</v>
      </c>
      <c r="K350">
        <v>3474</v>
      </c>
      <c r="L350" t="str">
        <f>IF(tblVendas[[#This Row],[regiao]]="", "Não informado", tblVendas[[#This Row],[regiao]])</f>
        <v>Oeste</v>
      </c>
      <c r="M350" t="str">
        <f>IF(tblVendas[[#This Row],[categoria]]="", "Outros", tblVendas[[#This Row],[categoria]])</f>
        <v>Calçados</v>
      </c>
      <c r="N350">
        <f>IF(tblVendas[[#This Row],[valor_total]]&lt;0, MEDIAN(tblVendas[valor_total]), tblVendas[[#This Row],[valor_total]])</f>
        <v>3474</v>
      </c>
    </row>
    <row r="351" spans="1:14" x14ac:dyDescent="0.25">
      <c r="A351" s="1">
        <v>45452</v>
      </c>
      <c r="B351">
        <v>2024</v>
      </c>
      <c r="C351">
        <v>6</v>
      </c>
      <c r="D351">
        <v>2</v>
      </c>
      <c r="E351" t="s">
        <v>15</v>
      </c>
      <c r="F351" t="s">
        <v>19</v>
      </c>
      <c r="G351" t="s">
        <v>24</v>
      </c>
      <c r="H351" t="s">
        <v>29</v>
      </c>
      <c r="I351">
        <v>11</v>
      </c>
      <c r="J351">
        <v>64</v>
      </c>
      <c r="K351">
        <v>704</v>
      </c>
      <c r="L351" t="str">
        <f>IF(tblVendas[[#This Row],[regiao]]="", "Não informado", tblVendas[[#This Row],[regiao]])</f>
        <v>Oeste</v>
      </c>
      <c r="M351" t="str">
        <f>IF(tblVendas[[#This Row],[categoria]]="", "Outros", tblVendas[[#This Row],[categoria]])</f>
        <v>Vestuário</v>
      </c>
      <c r="N351">
        <f>IF(tblVendas[[#This Row],[valor_total]]&lt;0, MEDIAN(tblVendas[valor_total]), tblVendas[[#This Row],[valor_total]])</f>
        <v>704</v>
      </c>
    </row>
    <row r="352" spans="1:14" x14ac:dyDescent="0.25">
      <c r="A352" s="1">
        <v>45547</v>
      </c>
      <c r="B352">
        <v>2024</v>
      </c>
      <c r="C352">
        <v>9</v>
      </c>
      <c r="D352">
        <v>3</v>
      </c>
      <c r="E352" t="s">
        <v>31</v>
      </c>
      <c r="F352" t="s">
        <v>19</v>
      </c>
      <c r="G352" t="s">
        <v>28</v>
      </c>
      <c r="H352" t="s">
        <v>21</v>
      </c>
      <c r="I352">
        <v>16</v>
      </c>
      <c r="J352">
        <v>133</v>
      </c>
      <c r="K352">
        <v>2128</v>
      </c>
      <c r="L352" t="str">
        <f>IF(tblVendas[[#This Row],[regiao]]="", "Não informado", tblVendas[[#This Row],[regiao]])</f>
        <v>Centro-Oeste</v>
      </c>
      <c r="M352" t="str">
        <f>IF(tblVendas[[#This Row],[categoria]]="", "Outros", tblVendas[[#This Row],[categoria]])</f>
        <v>Vestuário</v>
      </c>
      <c r="N352">
        <f>IF(tblVendas[[#This Row],[valor_total]]&lt;0, MEDIAN(tblVendas[valor_total]), tblVendas[[#This Row],[valor_total]])</f>
        <v>2128</v>
      </c>
    </row>
    <row r="353" spans="1:14" x14ac:dyDescent="0.25">
      <c r="A353" s="1">
        <v>45614</v>
      </c>
      <c r="B353">
        <v>2024</v>
      </c>
      <c r="C353">
        <v>11</v>
      </c>
      <c r="D353">
        <v>4</v>
      </c>
      <c r="E353" t="s">
        <v>33</v>
      </c>
      <c r="F353" t="s">
        <v>12</v>
      </c>
      <c r="G353" t="s">
        <v>16</v>
      </c>
      <c r="H353" t="s">
        <v>29</v>
      </c>
      <c r="I353">
        <v>17</v>
      </c>
      <c r="J353">
        <v>52</v>
      </c>
      <c r="K353">
        <v>884</v>
      </c>
      <c r="L353" t="str">
        <f>IF(tblVendas[[#This Row],[regiao]]="", "Não informado", tblVendas[[#This Row],[regiao]])</f>
        <v>Oeste</v>
      </c>
      <c r="M353" t="str">
        <f>IF(tblVendas[[#This Row],[categoria]]="", "Outros", tblVendas[[#This Row],[categoria]])</f>
        <v>Calçados</v>
      </c>
      <c r="N353">
        <f>IF(tblVendas[[#This Row],[valor_total]]&lt;0, MEDIAN(tblVendas[valor_total]), tblVendas[[#This Row],[valor_total]])</f>
        <v>884</v>
      </c>
    </row>
    <row r="354" spans="1:14" x14ac:dyDescent="0.25">
      <c r="A354" s="1">
        <v>45419</v>
      </c>
      <c r="B354">
        <v>2024</v>
      </c>
      <c r="C354">
        <v>5</v>
      </c>
      <c r="D354">
        <v>2</v>
      </c>
      <c r="E354" t="s">
        <v>27</v>
      </c>
      <c r="F354" t="s">
        <v>23</v>
      </c>
      <c r="G354" t="s">
        <v>20</v>
      </c>
      <c r="H354" t="s">
        <v>29</v>
      </c>
      <c r="I354">
        <v>5</v>
      </c>
      <c r="J354">
        <v>38</v>
      </c>
      <c r="K354">
        <v>190</v>
      </c>
      <c r="L354" t="str">
        <f>IF(tblVendas[[#This Row],[regiao]]="", "Não informado", tblVendas[[#This Row],[regiao]])</f>
        <v>Oeste</v>
      </c>
      <c r="M354" t="str">
        <f>IF(tblVendas[[#This Row],[categoria]]="", "Outros", tblVendas[[#This Row],[categoria]])</f>
        <v>Acessórios</v>
      </c>
      <c r="N354">
        <f>IF(tblVendas[[#This Row],[valor_total]]&lt;0, MEDIAN(tblVendas[valor_total]), tblVendas[[#This Row],[valor_total]])</f>
        <v>190</v>
      </c>
    </row>
    <row r="355" spans="1:14" x14ac:dyDescent="0.25">
      <c r="A355" s="1">
        <v>45309</v>
      </c>
      <c r="B355">
        <v>2024</v>
      </c>
      <c r="C355">
        <v>1</v>
      </c>
      <c r="D355">
        <v>1</v>
      </c>
      <c r="E355" t="s">
        <v>27</v>
      </c>
      <c r="F355" t="s">
        <v>23</v>
      </c>
      <c r="G355" t="s">
        <v>16</v>
      </c>
      <c r="H355" t="s">
        <v>29</v>
      </c>
      <c r="I355">
        <v>12</v>
      </c>
      <c r="J355">
        <v>63</v>
      </c>
      <c r="K355">
        <v>756</v>
      </c>
      <c r="L355" t="str">
        <f>IF(tblVendas[[#This Row],[regiao]]="", "Não informado", tblVendas[[#This Row],[regiao]])</f>
        <v>Oeste</v>
      </c>
      <c r="M355" t="str">
        <f>IF(tblVendas[[#This Row],[categoria]]="", "Outros", tblVendas[[#This Row],[categoria]])</f>
        <v>Acessórios</v>
      </c>
      <c r="N355">
        <f>IF(tblVendas[[#This Row],[valor_total]]&lt;0, MEDIAN(tblVendas[valor_total]), tblVendas[[#This Row],[valor_total]])</f>
        <v>756</v>
      </c>
    </row>
    <row r="356" spans="1:14" x14ac:dyDescent="0.25">
      <c r="A356" s="1">
        <v>45572</v>
      </c>
      <c r="B356">
        <v>2024</v>
      </c>
      <c r="C356">
        <v>10</v>
      </c>
      <c r="D356">
        <v>4</v>
      </c>
      <c r="E356" t="s">
        <v>32</v>
      </c>
      <c r="F356" t="s">
        <v>23</v>
      </c>
      <c r="G356" t="s">
        <v>24</v>
      </c>
      <c r="H356" t="s">
        <v>26</v>
      </c>
      <c r="I356">
        <v>11</v>
      </c>
      <c r="J356">
        <v>157</v>
      </c>
      <c r="K356">
        <v>1727</v>
      </c>
      <c r="L356" t="str">
        <f>IF(tblVendas[[#This Row],[regiao]]="", "Não informado", tblVendas[[#This Row],[regiao]])</f>
        <v>Sul</v>
      </c>
      <c r="M356" t="str">
        <f>IF(tblVendas[[#This Row],[categoria]]="", "Outros", tblVendas[[#This Row],[categoria]])</f>
        <v>Acessórios</v>
      </c>
      <c r="N356">
        <f>IF(tblVendas[[#This Row],[valor_total]]&lt;0, MEDIAN(tblVendas[valor_total]), tblVendas[[#This Row],[valor_total]])</f>
        <v>1727</v>
      </c>
    </row>
    <row r="357" spans="1:14" x14ac:dyDescent="0.25">
      <c r="A357" s="1">
        <v>45514</v>
      </c>
      <c r="B357">
        <v>2024</v>
      </c>
      <c r="C357">
        <v>8</v>
      </c>
      <c r="D357">
        <v>3</v>
      </c>
      <c r="E357" t="s">
        <v>11</v>
      </c>
      <c r="F357" t="s">
        <v>23</v>
      </c>
      <c r="G357" t="s">
        <v>16</v>
      </c>
      <c r="H357" t="s">
        <v>21</v>
      </c>
      <c r="I357">
        <v>15</v>
      </c>
      <c r="J357">
        <v>33</v>
      </c>
      <c r="K357">
        <v>495</v>
      </c>
      <c r="L357" t="str">
        <f>IF(tblVendas[[#This Row],[regiao]]="", "Não informado", tblVendas[[#This Row],[regiao]])</f>
        <v>Centro-Oeste</v>
      </c>
      <c r="M357" t="str">
        <f>IF(tblVendas[[#This Row],[categoria]]="", "Outros", tblVendas[[#This Row],[categoria]])</f>
        <v>Acessórios</v>
      </c>
      <c r="N357">
        <f>IF(tblVendas[[#This Row],[valor_total]]&lt;0, MEDIAN(tblVendas[valor_total]), tblVendas[[#This Row],[valor_total]])</f>
        <v>495</v>
      </c>
    </row>
    <row r="358" spans="1:14" x14ac:dyDescent="0.25">
      <c r="A358" s="1">
        <v>45345</v>
      </c>
      <c r="B358">
        <v>2024</v>
      </c>
      <c r="C358">
        <v>2</v>
      </c>
      <c r="D358">
        <v>1</v>
      </c>
      <c r="E358" t="s">
        <v>30</v>
      </c>
      <c r="F358" t="s">
        <v>19</v>
      </c>
      <c r="G358" t="s">
        <v>24</v>
      </c>
      <c r="H358" t="s">
        <v>29</v>
      </c>
      <c r="I358">
        <v>3</v>
      </c>
      <c r="J358">
        <v>187</v>
      </c>
      <c r="K358">
        <v>561</v>
      </c>
      <c r="L358" t="str">
        <f>IF(tblVendas[[#This Row],[regiao]]="", "Não informado", tblVendas[[#This Row],[regiao]])</f>
        <v>Oeste</v>
      </c>
      <c r="M358" t="str">
        <f>IF(tblVendas[[#This Row],[categoria]]="", "Outros", tblVendas[[#This Row],[categoria]])</f>
        <v>Vestuário</v>
      </c>
      <c r="N358">
        <f>IF(tblVendas[[#This Row],[valor_total]]&lt;0, MEDIAN(tblVendas[valor_total]), tblVendas[[#This Row],[valor_total]])</f>
        <v>561</v>
      </c>
    </row>
    <row r="359" spans="1:14" x14ac:dyDescent="0.25">
      <c r="A359" s="1">
        <v>45349</v>
      </c>
      <c r="B359">
        <v>2024</v>
      </c>
      <c r="C359">
        <v>2</v>
      </c>
      <c r="D359">
        <v>1</v>
      </c>
      <c r="E359" t="s">
        <v>31</v>
      </c>
      <c r="F359" t="s">
        <v>12</v>
      </c>
      <c r="G359" t="s">
        <v>24</v>
      </c>
      <c r="H359" t="s">
        <v>21</v>
      </c>
      <c r="I359">
        <v>1</v>
      </c>
      <c r="J359">
        <v>131</v>
      </c>
      <c r="K359">
        <v>131</v>
      </c>
      <c r="L359" t="str">
        <f>IF(tblVendas[[#This Row],[regiao]]="", "Não informado", tblVendas[[#This Row],[regiao]])</f>
        <v>Centro-Oeste</v>
      </c>
      <c r="M359" t="str">
        <f>IF(tblVendas[[#This Row],[categoria]]="", "Outros", tblVendas[[#This Row],[categoria]])</f>
        <v>Calçados</v>
      </c>
      <c r="N359">
        <f>IF(tblVendas[[#This Row],[valor_total]]&lt;0, MEDIAN(tblVendas[valor_total]), tblVendas[[#This Row],[valor_total]])</f>
        <v>131</v>
      </c>
    </row>
    <row r="360" spans="1:14" x14ac:dyDescent="0.25">
      <c r="A360" s="1">
        <v>45614</v>
      </c>
      <c r="B360">
        <v>2024</v>
      </c>
      <c r="C360">
        <v>11</v>
      </c>
      <c r="D360">
        <v>4</v>
      </c>
      <c r="E360" t="s">
        <v>11</v>
      </c>
      <c r="F360" t="s">
        <v>23</v>
      </c>
      <c r="G360" t="s">
        <v>24</v>
      </c>
      <c r="H360" t="s">
        <v>17</v>
      </c>
      <c r="I360">
        <v>16</v>
      </c>
      <c r="J360">
        <v>104</v>
      </c>
      <c r="K360">
        <v>1664</v>
      </c>
      <c r="L360" t="str">
        <f>IF(tblVendas[[#This Row],[regiao]]="", "Não informado", tblVendas[[#This Row],[regiao]])</f>
        <v>Leste</v>
      </c>
      <c r="M360" t="str">
        <f>IF(tblVendas[[#This Row],[categoria]]="", "Outros", tblVendas[[#This Row],[categoria]])</f>
        <v>Acessórios</v>
      </c>
      <c r="N360">
        <f>IF(tblVendas[[#This Row],[valor_total]]&lt;0, MEDIAN(tblVendas[valor_total]), tblVendas[[#This Row],[valor_total]])</f>
        <v>1664</v>
      </c>
    </row>
    <row r="361" spans="1:14" x14ac:dyDescent="0.25">
      <c r="A361" s="1">
        <v>45651</v>
      </c>
      <c r="B361">
        <v>2024</v>
      </c>
      <c r="C361">
        <v>12</v>
      </c>
      <c r="D361">
        <v>4</v>
      </c>
      <c r="E361" t="s">
        <v>32</v>
      </c>
      <c r="F361" t="s">
        <v>19</v>
      </c>
      <c r="G361" t="s">
        <v>24</v>
      </c>
      <c r="H361" t="s">
        <v>17</v>
      </c>
      <c r="I361">
        <v>2</v>
      </c>
      <c r="J361">
        <v>128</v>
      </c>
      <c r="K361">
        <v>256</v>
      </c>
      <c r="L361" t="str">
        <f>IF(tblVendas[[#This Row],[regiao]]="", "Não informado", tblVendas[[#This Row],[regiao]])</f>
        <v>Leste</v>
      </c>
      <c r="M361" t="str">
        <f>IF(tblVendas[[#This Row],[categoria]]="", "Outros", tblVendas[[#This Row],[categoria]])</f>
        <v>Vestuário</v>
      </c>
      <c r="N361">
        <f>IF(tblVendas[[#This Row],[valor_total]]&lt;0, MEDIAN(tblVendas[valor_total]), tblVendas[[#This Row],[valor_total]])</f>
        <v>256</v>
      </c>
    </row>
    <row r="362" spans="1:14" x14ac:dyDescent="0.25">
      <c r="A362" s="1">
        <v>45465</v>
      </c>
      <c r="B362">
        <v>2024</v>
      </c>
      <c r="C362">
        <v>6</v>
      </c>
      <c r="D362">
        <v>2</v>
      </c>
      <c r="E362" t="s">
        <v>18</v>
      </c>
      <c r="F362" t="s">
        <v>23</v>
      </c>
      <c r="G362" t="s">
        <v>24</v>
      </c>
      <c r="H362" t="s">
        <v>29</v>
      </c>
      <c r="I362">
        <v>2</v>
      </c>
      <c r="J362">
        <v>101</v>
      </c>
      <c r="K362">
        <v>202</v>
      </c>
      <c r="L362" t="str">
        <f>IF(tblVendas[[#This Row],[regiao]]="", "Não informado", tblVendas[[#This Row],[regiao]])</f>
        <v>Oeste</v>
      </c>
      <c r="M362" t="str">
        <f>IF(tblVendas[[#This Row],[categoria]]="", "Outros", tblVendas[[#This Row],[categoria]])</f>
        <v>Acessórios</v>
      </c>
      <c r="N362">
        <f>IF(tblVendas[[#This Row],[valor_total]]&lt;0, MEDIAN(tblVendas[valor_total]), tblVendas[[#This Row],[valor_total]])</f>
        <v>202</v>
      </c>
    </row>
    <row r="363" spans="1:14" x14ac:dyDescent="0.25">
      <c r="A363" s="1">
        <v>45571</v>
      </c>
      <c r="B363">
        <v>2024</v>
      </c>
      <c r="C363">
        <v>10</v>
      </c>
      <c r="D363">
        <v>4</v>
      </c>
      <c r="E363" t="s">
        <v>11</v>
      </c>
      <c r="F363" t="s">
        <v>12</v>
      </c>
      <c r="G363" t="s">
        <v>20</v>
      </c>
      <c r="H363" t="s">
        <v>21</v>
      </c>
      <c r="I363">
        <v>3</v>
      </c>
      <c r="J363">
        <v>32</v>
      </c>
      <c r="K363">
        <v>96</v>
      </c>
      <c r="L363" t="str">
        <f>IF(tblVendas[[#This Row],[regiao]]="", "Não informado", tblVendas[[#This Row],[regiao]])</f>
        <v>Centro-Oeste</v>
      </c>
      <c r="M363" t="str">
        <f>IF(tblVendas[[#This Row],[categoria]]="", "Outros", tblVendas[[#This Row],[categoria]])</f>
        <v>Calçados</v>
      </c>
      <c r="N363">
        <f>IF(tblVendas[[#This Row],[valor_total]]&lt;0, MEDIAN(tblVendas[valor_total]), tblVendas[[#This Row],[valor_total]])</f>
        <v>96</v>
      </c>
    </row>
    <row r="364" spans="1:14" x14ac:dyDescent="0.25">
      <c r="A364" s="1">
        <v>45405</v>
      </c>
      <c r="B364">
        <v>2024</v>
      </c>
      <c r="C364">
        <v>4</v>
      </c>
      <c r="D364">
        <v>2</v>
      </c>
      <c r="E364" t="s">
        <v>33</v>
      </c>
      <c r="F364" t="s">
        <v>19</v>
      </c>
      <c r="G364" t="s">
        <v>28</v>
      </c>
      <c r="H364" t="s">
        <v>21</v>
      </c>
      <c r="I364">
        <v>8</v>
      </c>
      <c r="J364">
        <v>171</v>
      </c>
      <c r="K364">
        <v>1368</v>
      </c>
      <c r="L364" t="str">
        <f>IF(tblVendas[[#This Row],[regiao]]="", "Não informado", tblVendas[[#This Row],[regiao]])</f>
        <v>Centro-Oeste</v>
      </c>
      <c r="M364" t="str">
        <f>IF(tblVendas[[#This Row],[categoria]]="", "Outros", tblVendas[[#This Row],[categoria]])</f>
        <v>Vestuário</v>
      </c>
      <c r="N364">
        <f>IF(tblVendas[[#This Row],[valor_total]]&lt;0, MEDIAN(tblVendas[valor_total]), tblVendas[[#This Row],[valor_total]])</f>
        <v>1368</v>
      </c>
    </row>
    <row r="365" spans="1:14" x14ac:dyDescent="0.25">
      <c r="A365" s="1">
        <v>45579</v>
      </c>
      <c r="B365">
        <v>2024</v>
      </c>
      <c r="C365">
        <v>10</v>
      </c>
      <c r="D365">
        <v>4</v>
      </c>
      <c r="E365" t="s">
        <v>31</v>
      </c>
      <c r="F365" t="s">
        <v>12</v>
      </c>
      <c r="G365" t="s">
        <v>13</v>
      </c>
      <c r="H365" t="s">
        <v>21</v>
      </c>
      <c r="I365">
        <v>15</v>
      </c>
      <c r="J365">
        <v>63</v>
      </c>
      <c r="K365">
        <v>945</v>
      </c>
      <c r="L365" t="str">
        <f>IF(tblVendas[[#This Row],[regiao]]="", "Não informado", tblVendas[[#This Row],[regiao]])</f>
        <v>Centro-Oeste</v>
      </c>
      <c r="M365" t="str">
        <f>IF(tblVendas[[#This Row],[categoria]]="", "Outros", tblVendas[[#This Row],[categoria]])</f>
        <v>Calçados</v>
      </c>
      <c r="N365">
        <f>IF(tblVendas[[#This Row],[valor_total]]&lt;0, MEDIAN(tblVendas[valor_total]), tblVendas[[#This Row],[valor_total]])</f>
        <v>945</v>
      </c>
    </row>
    <row r="366" spans="1:14" x14ac:dyDescent="0.25">
      <c r="A366" s="1">
        <v>45633</v>
      </c>
      <c r="B366">
        <v>2024</v>
      </c>
      <c r="C366">
        <v>12</v>
      </c>
      <c r="D366">
        <v>4</v>
      </c>
      <c r="E366" t="s">
        <v>32</v>
      </c>
      <c r="F366" t="s">
        <v>12</v>
      </c>
      <c r="G366" t="s">
        <v>28</v>
      </c>
      <c r="H366" t="s">
        <v>26</v>
      </c>
      <c r="I366">
        <v>7</v>
      </c>
      <c r="J366">
        <v>74</v>
      </c>
      <c r="K366">
        <v>518</v>
      </c>
      <c r="L366" t="str">
        <f>IF(tblVendas[[#This Row],[regiao]]="", "Não informado", tblVendas[[#This Row],[regiao]])</f>
        <v>Sul</v>
      </c>
      <c r="M366" t="str">
        <f>IF(tblVendas[[#This Row],[categoria]]="", "Outros", tblVendas[[#This Row],[categoria]])</f>
        <v>Calçados</v>
      </c>
      <c r="N366">
        <f>IF(tblVendas[[#This Row],[valor_total]]&lt;0, MEDIAN(tblVendas[valor_total]), tblVendas[[#This Row],[valor_total]])</f>
        <v>518</v>
      </c>
    </row>
    <row r="367" spans="1:14" x14ac:dyDescent="0.25">
      <c r="A367" s="1">
        <v>45442</v>
      </c>
      <c r="B367">
        <v>2024</v>
      </c>
      <c r="C367">
        <v>5</v>
      </c>
      <c r="D367">
        <v>2</v>
      </c>
      <c r="E367" t="s">
        <v>18</v>
      </c>
      <c r="F367" t="s">
        <v>19</v>
      </c>
      <c r="G367" t="s">
        <v>24</v>
      </c>
      <c r="H367" t="s">
        <v>17</v>
      </c>
      <c r="I367">
        <v>6</v>
      </c>
      <c r="J367">
        <v>90</v>
      </c>
      <c r="K367">
        <v>540</v>
      </c>
      <c r="L367" t="str">
        <f>IF(tblVendas[[#This Row],[regiao]]="", "Não informado", tblVendas[[#This Row],[regiao]])</f>
        <v>Leste</v>
      </c>
      <c r="M367" t="str">
        <f>IF(tblVendas[[#This Row],[categoria]]="", "Outros", tblVendas[[#This Row],[categoria]])</f>
        <v>Vestuário</v>
      </c>
      <c r="N367">
        <f>IF(tblVendas[[#This Row],[valor_total]]&lt;0, MEDIAN(tblVendas[valor_total]), tblVendas[[#This Row],[valor_total]])</f>
        <v>540</v>
      </c>
    </row>
    <row r="368" spans="1:14" x14ac:dyDescent="0.25">
      <c r="A368" s="1">
        <v>45418</v>
      </c>
      <c r="B368">
        <v>2024</v>
      </c>
      <c r="C368">
        <v>5</v>
      </c>
      <c r="D368">
        <v>2</v>
      </c>
      <c r="E368" t="s">
        <v>22</v>
      </c>
      <c r="F368" t="s">
        <v>19</v>
      </c>
      <c r="G368" t="s">
        <v>20</v>
      </c>
      <c r="H368" t="s">
        <v>21</v>
      </c>
      <c r="I368">
        <v>9</v>
      </c>
      <c r="J368">
        <v>112</v>
      </c>
      <c r="K368">
        <v>1008</v>
      </c>
      <c r="L368" t="str">
        <f>IF(tblVendas[[#This Row],[regiao]]="", "Não informado", tblVendas[[#This Row],[regiao]])</f>
        <v>Centro-Oeste</v>
      </c>
      <c r="M368" t="str">
        <f>IF(tblVendas[[#This Row],[categoria]]="", "Outros", tblVendas[[#This Row],[categoria]])</f>
        <v>Vestuário</v>
      </c>
      <c r="N368">
        <f>IF(tblVendas[[#This Row],[valor_total]]&lt;0, MEDIAN(tblVendas[valor_total]), tblVendas[[#This Row],[valor_total]])</f>
        <v>1008</v>
      </c>
    </row>
    <row r="369" spans="1:14" x14ac:dyDescent="0.25">
      <c r="A369" s="1">
        <v>45446</v>
      </c>
      <c r="B369">
        <v>2024</v>
      </c>
      <c r="C369">
        <v>6</v>
      </c>
      <c r="D369">
        <v>2</v>
      </c>
      <c r="E369" t="s">
        <v>32</v>
      </c>
      <c r="F369" t="s">
        <v>19</v>
      </c>
      <c r="G369" t="s">
        <v>16</v>
      </c>
      <c r="H369" t="s">
        <v>21</v>
      </c>
      <c r="I369">
        <v>1</v>
      </c>
      <c r="J369">
        <v>152</v>
      </c>
      <c r="K369">
        <v>152</v>
      </c>
      <c r="L369" t="str">
        <f>IF(tblVendas[[#This Row],[regiao]]="", "Não informado", tblVendas[[#This Row],[regiao]])</f>
        <v>Centro-Oeste</v>
      </c>
      <c r="M369" t="str">
        <f>IF(tblVendas[[#This Row],[categoria]]="", "Outros", tblVendas[[#This Row],[categoria]])</f>
        <v>Vestuário</v>
      </c>
      <c r="N369">
        <f>IF(tblVendas[[#This Row],[valor_total]]&lt;0, MEDIAN(tblVendas[valor_total]), tblVendas[[#This Row],[valor_total]])</f>
        <v>152</v>
      </c>
    </row>
    <row r="370" spans="1:14" x14ac:dyDescent="0.25">
      <c r="A370" s="1">
        <v>45564</v>
      </c>
      <c r="B370">
        <v>2024</v>
      </c>
      <c r="C370">
        <v>9</v>
      </c>
      <c r="D370">
        <v>3</v>
      </c>
      <c r="E370" t="s">
        <v>22</v>
      </c>
      <c r="F370" t="s">
        <v>19</v>
      </c>
      <c r="G370" t="s">
        <v>20</v>
      </c>
      <c r="H370" t="s">
        <v>26</v>
      </c>
      <c r="I370">
        <v>8</v>
      </c>
      <c r="J370">
        <v>131</v>
      </c>
      <c r="K370">
        <v>1048</v>
      </c>
      <c r="L370" t="str">
        <f>IF(tblVendas[[#This Row],[regiao]]="", "Não informado", tblVendas[[#This Row],[regiao]])</f>
        <v>Sul</v>
      </c>
      <c r="M370" t="str">
        <f>IF(tblVendas[[#This Row],[categoria]]="", "Outros", tblVendas[[#This Row],[categoria]])</f>
        <v>Vestuário</v>
      </c>
      <c r="N370">
        <f>IF(tblVendas[[#This Row],[valor_total]]&lt;0, MEDIAN(tblVendas[valor_total]), tblVendas[[#This Row],[valor_total]])</f>
        <v>1048</v>
      </c>
    </row>
    <row r="371" spans="1:14" x14ac:dyDescent="0.25">
      <c r="A371" s="1">
        <v>45395</v>
      </c>
      <c r="B371">
        <v>2024</v>
      </c>
      <c r="C371">
        <v>4</v>
      </c>
      <c r="D371">
        <v>2</v>
      </c>
      <c r="E371" t="s">
        <v>31</v>
      </c>
      <c r="F371" t="s">
        <v>19</v>
      </c>
      <c r="G371" t="s">
        <v>24</v>
      </c>
      <c r="H371" t="s">
        <v>26</v>
      </c>
      <c r="I371">
        <v>3</v>
      </c>
      <c r="J371">
        <v>45</v>
      </c>
      <c r="K371">
        <v>135</v>
      </c>
      <c r="L371" t="str">
        <f>IF(tblVendas[[#This Row],[regiao]]="", "Não informado", tblVendas[[#This Row],[regiao]])</f>
        <v>Sul</v>
      </c>
      <c r="M371" t="str">
        <f>IF(tblVendas[[#This Row],[categoria]]="", "Outros", tblVendas[[#This Row],[categoria]])</f>
        <v>Vestuário</v>
      </c>
      <c r="N371">
        <f>IF(tblVendas[[#This Row],[valor_total]]&lt;0, MEDIAN(tblVendas[valor_total]), tblVendas[[#This Row],[valor_total]])</f>
        <v>135</v>
      </c>
    </row>
    <row r="372" spans="1:14" x14ac:dyDescent="0.25">
      <c r="A372" s="1">
        <v>45590</v>
      </c>
      <c r="B372">
        <v>2024</v>
      </c>
      <c r="C372">
        <v>10</v>
      </c>
      <c r="D372">
        <v>4</v>
      </c>
      <c r="E372" t="s">
        <v>27</v>
      </c>
      <c r="F372" t="s">
        <v>19</v>
      </c>
      <c r="G372" t="s">
        <v>20</v>
      </c>
      <c r="H372" t="s">
        <v>21</v>
      </c>
      <c r="I372">
        <v>4</v>
      </c>
      <c r="J372">
        <v>95</v>
      </c>
      <c r="K372">
        <v>380</v>
      </c>
      <c r="L372" t="str">
        <f>IF(tblVendas[[#This Row],[regiao]]="", "Não informado", tblVendas[[#This Row],[regiao]])</f>
        <v>Centro-Oeste</v>
      </c>
      <c r="M372" t="str">
        <f>IF(tblVendas[[#This Row],[categoria]]="", "Outros", tblVendas[[#This Row],[categoria]])</f>
        <v>Vestuário</v>
      </c>
      <c r="N372">
        <f>IF(tblVendas[[#This Row],[valor_total]]&lt;0, MEDIAN(tblVendas[valor_total]), tblVendas[[#This Row],[valor_total]])</f>
        <v>380</v>
      </c>
    </row>
    <row r="373" spans="1:14" x14ac:dyDescent="0.25">
      <c r="A373" s="1">
        <v>45537</v>
      </c>
      <c r="B373">
        <v>2024</v>
      </c>
      <c r="C373">
        <v>9</v>
      </c>
      <c r="D373">
        <v>3</v>
      </c>
      <c r="E373" t="s">
        <v>32</v>
      </c>
      <c r="F373" t="s">
        <v>19</v>
      </c>
      <c r="G373" t="s">
        <v>20</v>
      </c>
      <c r="H373" t="s">
        <v>14</v>
      </c>
      <c r="I373">
        <v>15</v>
      </c>
      <c r="J373">
        <v>197</v>
      </c>
      <c r="K373">
        <v>2955</v>
      </c>
      <c r="L373" t="str">
        <f>IF(tblVendas[[#This Row],[regiao]]="", "Não informado", tblVendas[[#This Row],[regiao]])</f>
        <v>Norte</v>
      </c>
      <c r="M373" t="str">
        <f>IF(tblVendas[[#This Row],[categoria]]="", "Outros", tblVendas[[#This Row],[categoria]])</f>
        <v>Vestuário</v>
      </c>
      <c r="N373">
        <f>IF(tblVendas[[#This Row],[valor_total]]&lt;0, MEDIAN(tblVendas[valor_total]), tblVendas[[#This Row],[valor_total]])</f>
        <v>2955</v>
      </c>
    </row>
    <row r="374" spans="1:14" x14ac:dyDescent="0.25">
      <c r="A374" s="1">
        <v>45467</v>
      </c>
      <c r="B374">
        <v>2024</v>
      </c>
      <c r="C374">
        <v>6</v>
      </c>
      <c r="D374">
        <v>2</v>
      </c>
      <c r="E374" t="s">
        <v>15</v>
      </c>
      <c r="F374" t="s">
        <v>23</v>
      </c>
      <c r="G374" t="s">
        <v>24</v>
      </c>
      <c r="H374" t="s">
        <v>21</v>
      </c>
      <c r="I374">
        <v>6</v>
      </c>
      <c r="J374">
        <v>174</v>
      </c>
      <c r="K374">
        <v>1044</v>
      </c>
      <c r="L374" t="str">
        <f>IF(tblVendas[[#This Row],[regiao]]="", "Não informado", tblVendas[[#This Row],[regiao]])</f>
        <v>Centro-Oeste</v>
      </c>
      <c r="M374" t="str">
        <f>IF(tblVendas[[#This Row],[categoria]]="", "Outros", tblVendas[[#This Row],[categoria]])</f>
        <v>Acessórios</v>
      </c>
      <c r="N374">
        <f>IF(tblVendas[[#This Row],[valor_total]]&lt;0, MEDIAN(tblVendas[valor_total]), tblVendas[[#This Row],[valor_total]])</f>
        <v>1044</v>
      </c>
    </row>
    <row r="375" spans="1:14" x14ac:dyDescent="0.25">
      <c r="A375" s="1">
        <v>45330</v>
      </c>
      <c r="B375">
        <v>2024</v>
      </c>
      <c r="C375">
        <v>2</v>
      </c>
      <c r="D375">
        <v>1</v>
      </c>
      <c r="E375" t="s">
        <v>22</v>
      </c>
      <c r="F375" t="s">
        <v>12</v>
      </c>
      <c r="G375" t="s">
        <v>20</v>
      </c>
      <c r="H375" t="s">
        <v>21</v>
      </c>
      <c r="I375">
        <v>15</v>
      </c>
      <c r="J375">
        <v>148</v>
      </c>
      <c r="K375">
        <v>2220</v>
      </c>
      <c r="L375" t="str">
        <f>IF(tblVendas[[#This Row],[regiao]]="", "Não informado", tblVendas[[#This Row],[regiao]])</f>
        <v>Centro-Oeste</v>
      </c>
      <c r="M375" t="str">
        <f>IF(tblVendas[[#This Row],[categoria]]="", "Outros", tblVendas[[#This Row],[categoria]])</f>
        <v>Calçados</v>
      </c>
      <c r="N375">
        <f>IF(tblVendas[[#This Row],[valor_total]]&lt;0, MEDIAN(tblVendas[valor_total]), tblVendas[[#This Row],[valor_total]])</f>
        <v>2220</v>
      </c>
    </row>
    <row r="376" spans="1:14" x14ac:dyDescent="0.25">
      <c r="A376" s="1">
        <v>45461</v>
      </c>
      <c r="B376">
        <v>2024</v>
      </c>
      <c r="C376">
        <v>6</v>
      </c>
      <c r="D376">
        <v>2</v>
      </c>
      <c r="E376" t="s">
        <v>33</v>
      </c>
      <c r="F376" t="s">
        <v>19</v>
      </c>
      <c r="G376" t="s">
        <v>13</v>
      </c>
      <c r="H376" t="s">
        <v>26</v>
      </c>
      <c r="I376">
        <v>3</v>
      </c>
      <c r="J376">
        <v>191</v>
      </c>
      <c r="K376">
        <v>573</v>
      </c>
      <c r="L376" t="str">
        <f>IF(tblVendas[[#This Row],[regiao]]="", "Não informado", tblVendas[[#This Row],[regiao]])</f>
        <v>Sul</v>
      </c>
      <c r="M376" t="str">
        <f>IF(tblVendas[[#This Row],[categoria]]="", "Outros", tblVendas[[#This Row],[categoria]])</f>
        <v>Vestuário</v>
      </c>
      <c r="N376">
        <f>IF(tblVendas[[#This Row],[valor_total]]&lt;0, MEDIAN(tblVendas[valor_total]), tblVendas[[#This Row],[valor_total]])</f>
        <v>573</v>
      </c>
    </row>
    <row r="377" spans="1:14" x14ac:dyDescent="0.25">
      <c r="A377" s="1">
        <v>45538</v>
      </c>
      <c r="B377">
        <v>2024</v>
      </c>
      <c r="C377">
        <v>9</v>
      </c>
      <c r="D377">
        <v>3</v>
      </c>
      <c r="E377" t="s">
        <v>15</v>
      </c>
      <c r="F377" t="s">
        <v>23</v>
      </c>
      <c r="G377" t="s">
        <v>13</v>
      </c>
      <c r="H377" t="s">
        <v>26</v>
      </c>
      <c r="I377">
        <v>14</v>
      </c>
      <c r="J377">
        <v>153</v>
      </c>
      <c r="K377">
        <v>2142</v>
      </c>
      <c r="L377" t="str">
        <f>IF(tblVendas[[#This Row],[regiao]]="", "Não informado", tblVendas[[#This Row],[regiao]])</f>
        <v>Sul</v>
      </c>
      <c r="M377" t="str">
        <f>IF(tblVendas[[#This Row],[categoria]]="", "Outros", tblVendas[[#This Row],[categoria]])</f>
        <v>Acessórios</v>
      </c>
      <c r="N377">
        <f>IF(tblVendas[[#This Row],[valor_total]]&lt;0, MEDIAN(tblVendas[valor_total]), tblVendas[[#This Row],[valor_total]])</f>
        <v>2142</v>
      </c>
    </row>
    <row r="378" spans="1:14" x14ac:dyDescent="0.25">
      <c r="A378" s="1">
        <v>45317</v>
      </c>
      <c r="B378">
        <v>2024</v>
      </c>
      <c r="C378">
        <v>1</v>
      </c>
      <c r="D378">
        <v>1</v>
      </c>
      <c r="E378" t="s">
        <v>25</v>
      </c>
      <c r="F378" t="s">
        <v>23</v>
      </c>
      <c r="G378" t="s">
        <v>20</v>
      </c>
      <c r="H378" t="s">
        <v>21</v>
      </c>
      <c r="I378">
        <v>14</v>
      </c>
      <c r="J378">
        <v>173</v>
      </c>
      <c r="K378">
        <v>2422</v>
      </c>
      <c r="L378" t="str">
        <f>IF(tblVendas[[#This Row],[regiao]]="", "Não informado", tblVendas[[#This Row],[regiao]])</f>
        <v>Centro-Oeste</v>
      </c>
      <c r="M378" t="str">
        <f>IF(tblVendas[[#This Row],[categoria]]="", "Outros", tblVendas[[#This Row],[categoria]])</f>
        <v>Acessórios</v>
      </c>
      <c r="N378">
        <f>IF(tblVendas[[#This Row],[valor_total]]&lt;0, MEDIAN(tblVendas[valor_total]), tblVendas[[#This Row],[valor_total]])</f>
        <v>2422</v>
      </c>
    </row>
    <row r="379" spans="1:14" x14ac:dyDescent="0.25">
      <c r="A379" s="1">
        <v>45646</v>
      </c>
      <c r="B379">
        <v>2024</v>
      </c>
      <c r="C379">
        <v>12</v>
      </c>
      <c r="D379">
        <v>4</v>
      </c>
      <c r="E379" t="s">
        <v>25</v>
      </c>
      <c r="F379" t="s">
        <v>23</v>
      </c>
      <c r="G379" t="s">
        <v>16</v>
      </c>
      <c r="H379" t="s">
        <v>21</v>
      </c>
      <c r="I379">
        <v>4</v>
      </c>
      <c r="J379">
        <v>131</v>
      </c>
      <c r="K379">
        <v>524</v>
      </c>
      <c r="L379" t="str">
        <f>IF(tblVendas[[#This Row],[regiao]]="", "Não informado", tblVendas[[#This Row],[regiao]])</f>
        <v>Centro-Oeste</v>
      </c>
      <c r="M379" t="str">
        <f>IF(tblVendas[[#This Row],[categoria]]="", "Outros", tblVendas[[#This Row],[categoria]])</f>
        <v>Acessórios</v>
      </c>
      <c r="N379">
        <f>IF(tblVendas[[#This Row],[valor_total]]&lt;0, MEDIAN(tblVendas[valor_total]), tblVendas[[#This Row],[valor_total]])</f>
        <v>524</v>
      </c>
    </row>
    <row r="380" spans="1:14" x14ac:dyDescent="0.25">
      <c r="A380" s="1">
        <v>45597</v>
      </c>
      <c r="B380">
        <v>2024</v>
      </c>
      <c r="C380">
        <v>11</v>
      </c>
      <c r="D380">
        <v>4</v>
      </c>
      <c r="E380" t="s">
        <v>18</v>
      </c>
      <c r="F380" t="s">
        <v>12</v>
      </c>
      <c r="G380" t="s">
        <v>24</v>
      </c>
      <c r="H380" t="s">
        <v>21</v>
      </c>
      <c r="I380">
        <v>12</v>
      </c>
      <c r="J380">
        <v>95</v>
      </c>
      <c r="K380">
        <v>1140</v>
      </c>
      <c r="L380" t="str">
        <f>IF(tblVendas[[#This Row],[regiao]]="", "Não informado", tblVendas[[#This Row],[regiao]])</f>
        <v>Centro-Oeste</v>
      </c>
      <c r="M380" t="str">
        <f>IF(tblVendas[[#This Row],[categoria]]="", "Outros", tblVendas[[#This Row],[categoria]])</f>
        <v>Calçados</v>
      </c>
      <c r="N380">
        <f>IF(tblVendas[[#This Row],[valor_total]]&lt;0, MEDIAN(tblVendas[valor_total]), tblVendas[[#This Row],[valor_total]])</f>
        <v>1140</v>
      </c>
    </row>
    <row r="381" spans="1:14" x14ac:dyDescent="0.25">
      <c r="A381" s="1">
        <v>45304</v>
      </c>
      <c r="B381">
        <v>2024</v>
      </c>
      <c r="C381">
        <v>1</v>
      </c>
      <c r="D381">
        <v>1</v>
      </c>
      <c r="E381" t="s">
        <v>27</v>
      </c>
      <c r="F381" t="s">
        <v>19</v>
      </c>
      <c r="G381" t="s">
        <v>13</v>
      </c>
      <c r="H381" t="s">
        <v>26</v>
      </c>
      <c r="I381">
        <v>17</v>
      </c>
      <c r="J381">
        <v>42</v>
      </c>
      <c r="K381">
        <v>714</v>
      </c>
      <c r="L381" t="str">
        <f>IF(tblVendas[[#This Row],[regiao]]="", "Não informado", tblVendas[[#This Row],[regiao]])</f>
        <v>Sul</v>
      </c>
      <c r="M381" t="str">
        <f>IF(tblVendas[[#This Row],[categoria]]="", "Outros", tblVendas[[#This Row],[categoria]])</f>
        <v>Vestuário</v>
      </c>
      <c r="N381">
        <f>IF(tblVendas[[#This Row],[valor_total]]&lt;0, MEDIAN(tblVendas[valor_total]), tblVendas[[#This Row],[valor_total]])</f>
        <v>714</v>
      </c>
    </row>
    <row r="382" spans="1:14" x14ac:dyDescent="0.25">
      <c r="A382" s="1">
        <v>45607</v>
      </c>
      <c r="B382">
        <v>2024</v>
      </c>
      <c r="C382">
        <v>11</v>
      </c>
      <c r="D382">
        <v>4</v>
      </c>
      <c r="E382" t="s">
        <v>31</v>
      </c>
      <c r="F382" t="s">
        <v>23</v>
      </c>
      <c r="G382" t="s">
        <v>16</v>
      </c>
      <c r="H382" t="s">
        <v>21</v>
      </c>
      <c r="I382">
        <v>7</v>
      </c>
      <c r="J382">
        <v>140</v>
      </c>
      <c r="K382">
        <v>980</v>
      </c>
      <c r="L382" t="str">
        <f>IF(tblVendas[[#This Row],[regiao]]="", "Não informado", tblVendas[[#This Row],[regiao]])</f>
        <v>Centro-Oeste</v>
      </c>
      <c r="M382" t="str">
        <f>IF(tblVendas[[#This Row],[categoria]]="", "Outros", tblVendas[[#This Row],[categoria]])</f>
        <v>Acessórios</v>
      </c>
      <c r="N382">
        <f>IF(tblVendas[[#This Row],[valor_total]]&lt;0, MEDIAN(tblVendas[valor_total]), tblVendas[[#This Row],[valor_total]])</f>
        <v>980</v>
      </c>
    </row>
    <row r="383" spans="1:14" x14ac:dyDescent="0.25">
      <c r="A383" s="1">
        <v>45604</v>
      </c>
      <c r="B383">
        <v>2024</v>
      </c>
      <c r="C383">
        <v>11</v>
      </c>
      <c r="D383">
        <v>4</v>
      </c>
      <c r="E383" t="s">
        <v>32</v>
      </c>
      <c r="F383" t="s">
        <v>12</v>
      </c>
      <c r="G383" t="s">
        <v>20</v>
      </c>
      <c r="H383" t="s">
        <v>21</v>
      </c>
      <c r="I383">
        <v>9</v>
      </c>
      <c r="J383">
        <v>188</v>
      </c>
      <c r="K383">
        <v>1692</v>
      </c>
      <c r="L383" t="str">
        <f>IF(tblVendas[[#This Row],[regiao]]="", "Não informado", tblVendas[[#This Row],[regiao]])</f>
        <v>Centro-Oeste</v>
      </c>
      <c r="M383" t="str">
        <f>IF(tblVendas[[#This Row],[categoria]]="", "Outros", tblVendas[[#This Row],[categoria]])</f>
        <v>Calçados</v>
      </c>
      <c r="N383">
        <f>IF(tblVendas[[#This Row],[valor_total]]&lt;0, MEDIAN(tblVendas[valor_total]), tblVendas[[#This Row],[valor_total]])</f>
        <v>1692</v>
      </c>
    </row>
    <row r="384" spans="1:14" x14ac:dyDescent="0.25">
      <c r="A384" s="1">
        <v>45327</v>
      </c>
      <c r="B384">
        <v>2024</v>
      </c>
      <c r="C384">
        <v>2</v>
      </c>
      <c r="D384">
        <v>1</v>
      </c>
      <c r="E384" t="s">
        <v>30</v>
      </c>
      <c r="F384" t="s">
        <v>12</v>
      </c>
      <c r="G384" t="s">
        <v>16</v>
      </c>
      <c r="H384" t="s">
        <v>29</v>
      </c>
      <c r="I384">
        <v>3</v>
      </c>
      <c r="J384">
        <v>63</v>
      </c>
      <c r="K384">
        <v>189</v>
      </c>
      <c r="L384" t="str">
        <f>IF(tblVendas[[#This Row],[regiao]]="", "Não informado", tblVendas[[#This Row],[regiao]])</f>
        <v>Oeste</v>
      </c>
      <c r="M384" t="str">
        <f>IF(tblVendas[[#This Row],[categoria]]="", "Outros", tblVendas[[#This Row],[categoria]])</f>
        <v>Calçados</v>
      </c>
      <c r="N384">
        <f>IF(tblVendas[[#This Row],[valor_total]]&lt;0, MEDIAN(tblVendas[valor_total]), tblVendas[[#This Row],[valor_total]])</f>
        <v>189</v>
      </c>
    </row>
    <row r="385" spans="1:14" x14ac:dyDescent="0.25">
      <c r="A385" s="1">
        <v>45464</v>
      </c>
      <c r="B385">
        <v>2024</v>
      </c>
      <c r="C385">
        <v>6</v>
      </c>
      <c r="D385">
        <v>2</v>
      </c>
      <c r="E385" t="s">
        <v>33</v>
      </c>
      <c r="F385" t="s">
        <v>12</v>
      </c>
      <c r="G385" t="s">
        <v>28</v>
      </c>
      <c r="H385" t="s">
        <v>14</v>
      </c>
      <c r="I385">
        <v>13</v>
      </c>
      <c r="J385">
        <v>68</v>
      </c>
      <c r="K385">
        <v>884</v>
      </c>
      <c r="L385" t="str">
        <f>IF(tblVendas[[#This Row],[regiao]]="", "Não informado", tblVendas[[#This Row],[regiao]])</f>
        <v>Norte</v>
      </c>
      <c r="M385" t="str">
        <f>IF(tblVendas[[#This Row],[categoria]]="", "Outros", tblVendas[[#This Row],[categoria]])</f>
        <v>Calçados</v>
      </c>
      <c r="N385">
        <f>IF(tblVendas[[#This Row],[valor_total]]&lt;0, MEDIAN(tblVendas[valor_total]), tblVendas[[#This Row],[valor_total]])</f>
        <v>884</v>
      </c>
    </row>
    <row r="386" spans="1:14" x14ac:dyDescent="0.25">
      <c r="A386" s="1">
        <v>45311</v>
      </c>
      <c r="B386">
        <v>2024</v>
      </c>
      <c r="C386">
        <v>1</v>
      </c>
      <c r="D386">
        <v>1</v>
      </c>
      <c r="E386" t="s">
        <v>22</v>
      </c>
      <c r="F386" t="s">
        <v>23</v>
      </c>
      <c r="G386" t="s">
        <v>13</v>
      </c>
      <c r="H386" t="s">
        <v>17</v>
      </c>
      <c r="I386">
        <v>15</v>
      </c>
      <c r="J386">
        <v>165</v>
      </c>
      <c r="K386">
        <v>2475</v>
      </c>
      <c r="L386" t="str">
        <f>IF(tblVendas[[#This Row],[regiao]]="", "Não informado", tblVendas[[#This Row],[regiao]])</f>
        <v>Leste</v>
      </c>
      <c r="M386" t="str">
        <f>IF(tblVendas[[#This Row],[categoria]]="", "Outros", tblVendas[[#This Row],[categoria]])</f>
        <v>Acessórios</v>
      </c>
      <c r="N386">
        <f>IF(tblVendas[[#This Row],[valor_total]]&lt;0, MEDIAN(tblVendas[valor_total]), tblVendas[[#This Row],[valor_total]])</f>
        <v>2475</v>
      </c>
    </row>
    <row r="387" spans="1:14" x14ac:dyDescent="0.25">
      <c r="A387" s="1">
        <v>45612</v>
      </c>
      <c r="B387">
        <v>2024</v>
      </c>
      <c r="C387">
        <v>11</v>
      </c>
      <c r="D387">
        <v>4</v>
      </c>
      <c r="E387" t="s">
        <v>31</v>
      </c>
      <c r="F387" t="s">
        <v>19</v>
      </c>
      <c r="G387" t="s">
        <v>20</v>
      </c>
      <c r="H387" t="s">
        <v>14</v>
      </c>
      <c r="I387">
        <v>18</v>
      </c>
      <c r="J387">
        <v>149</v>
      </c>
      <c r="K387">
        <v>2682</v>
      </c>
      <c r="L387" t="str">
        <f>IF(tblVendas[[#This Row],[regiao]]="", "Não informado", tblVendas[[#This Row],[regiao]])</f>
        <v>Norte</v>
      </c>
      <c r="M387" t="str">
        <f>IF(tblVendas[[#This Row],[categoria]]="", "Outros", tblVendas[[#This Row],[categoria]])</f>
        <v>Vestuário</v>
      </c>
      <c r="N387">
        <f>IF(tblVendas[[#This Row],[valor_total]]&lt;0, MEDIAN(tblVendas[valor_total]), tblVendas[[#This Row],[valor_total]])</f>
        <v>2682</v>
      </c>
    </row>
    <row r="388" spans="1:14" x14ac:dyDescent="0.25">
      <c r="A388" s="1">
        <v>45555</v>
      </c>
      <c r="B388">
        <v>2024</v>
      </c>
      <c r="C388">
        <v>9</v>
      </c>
      <c r="D388">
        <v>3</v>
      </c>
      <c r="E388" t="s">
        <v>15</v>
      </c>
      <c r="F388" t="s">
        <v>23</v>
      </c>
      <c r="G388" t="s">
        <v>24</v>
      </c>
      <c r="H388" t="s">
        <v>29</v>
      </c>
      <c r="I388">
        <v>19</v>
      </c>
      <c r="J388">
        <v>155</v>
      </c>
      <c r="K388">
        <v>2945</v>
      </c>
      <c r="L388" t="str">
        <f>IF(tblVendas[[#This Row],[regiao]]="", "Não informado", tblVendas[[#This Row],[regiao]])</f>
        <v>Oeste</v>
      </c>
      <c r="M388" t="str">
        <f>IF(tblVendas[[#This Row],[categoria]]="", "Outros", tblVendas[[#This Row],[categoria]])</f>
        <v>Acessórios</v>
      </c>
      <c r="N388">
        <f>IF(tblVendas[[#This Row],[valor_total]]&lt;0, MEDIAN(tblVendas[valor_total]), tblVendas[[#This Row],[valor_total]])</f>
        <v>2945</v>
      </c>
    </row>
    <row r="389" spans="1:14" x14ac:dyDescent="0.25">
      <c r="A389" s="1">
        <v>45433</v>
      </c>
      <c r="B389">
        <v>2024</v>
      </c>
      <c r="C389">
        <v>5</v>
      </c>
      <c r="D389">
        <v>2</v>
      </c>
      <c r="E389" t="s">
        <v>25</v>
      </c>
      <c r="F389" t="s">
        <v>23</v>
      </c>
      <c r="G389" t="s">
        <v>20</v>
      </c>
      <c r="H389" t="s">
        <v>17</v>
      </c>
      <c r="I389">
        <v>1</v>
      </c>
      <c r="J389">
        <v>84</v>
      </c>
      <c r="K389">
        <v>84</v>
      </c>
      <c r="L389" t="str">
        <f>IF(tblVendas[[#This Row],[regiao]]="", "Não informado", tblVendas[[#This Row],[regiao]])</f>
        <v>Leste</v>
      </c>
      <c r="M389" t="str">
        <f>IF(tblVendas[[#This Row],[categoria]]="", "Outros", tblVendas[[#This Row],[categoria]])</f>
        <v>Acessórios</v>
      </c>
      <c r="N389">
        <f>IF(tblVendas[[#This Row],[valor_total]]&lt;0, MEDIAN(tblVendas[valor_total]), tblVendas[[#This Row],[valor_total]])</f>
        <v>84</v>
      </c>
    </row>
    <row r="390" spans="1:14" x14ac:dyDescent="0.25">
      <c r="A390" s="1">
        <v>45434</v>
      </c>
      <c r="B390">
        <v>2024</v>
      </c>
      <c r="C390">
        <v>5</v>
      </c>
      <c r="D390">
        <v>2</v>
      </c>
      <c r="E390" t="s">
        <v>33</v>
      </c>
      <c r="F390" t="s">
        <v>19</v>
      </c>
      <c r="G390" t="s">
        <v>24</v>
      </c>
      <c r="H390" t="s">
        <v>21</v>
      </c>
      <c r="I390">
        <v>6</v>
      </c>
      <c r="J390">
        <v>56</v>
      </c>
      <c r="K390">
        <v>336</v>
      </c>
      <c r="L390" t="str">
        <f>IF(tblVendas[[#This Row],[regiao]]="", "Não informado", tblVendas[[#This Row],[regiao]])</f>
        <v>Centro-Oeste</v>
      </c>
      <c r="M390" t="str">
        <f>IF(tblVendas[[#This Row],[categoria]]="", "Outros", tblVendas[[#This Row],[categoria]])</f>
        <v>Vestuário</v>
      </c>
      <c r="N390">
        <f>IF(tblVendas[[#This Row],[valor_total]]&lt;0, MEDIAN(tblVendas[valor_total]), tblVendas[[#This Row],[valor_total]])</f>
        <v>336</v>
      </c>
    </row>
    <row r="391" spans="1:14" x14ac:dyDescent="0.25">
      <c r="A391" s="1">
        <v>45383</v>
      </c>
      <c r="B391">
        <v>2024</v>
      </c>
      <c r="C391">
        <v>4</v>
      </c>
      <c r="D391">
        <v>2</v>
      </c>
      <c r="E391" t="s">
        <v>30</v>
      </c>
      <c r="F391" t="s">
        <v>19</v>
      </c>
      <c r="G391" t="s">
        <v>20</v>
      </c>
      <c r="H391" t="s">
        <v>29</v>
      </c>
      <c r="I391">
        <v>2</v>
      </c>
      <c r="J391">
        <v>147</v>
      </c>
      <c r="K391">
        <v>294</v>
      </c>
      <c r="L391" t="str">
        <f>IF(tblVendas[[#This Row],[regiao]]="", "Não informado", tblVendas[[#This Row],[regiao]])</f>
        <v>Oeste</v>
      </c>
      <c r="M391" t="str">
        <f>IF(tblVendas[[#This Row],[categoria]]="", "Outros", tblVendas[[#This Row],[categoria]])</f>
        <v>Vestuário</v>
      </c>
      <c r="N391">
        <f>IF(tblVendas[[#This Row],[valor_total]]&lt;0, MEDIAN(tblVendas[valor_total]), tblVendas[[#This Row],[valor_total]])</f>
        <v>294</v>
      </c>
    </row>
    <row r="392" spans="1:14" x14ac:dyDescent="0.25">
      <c r="A392" s="1">
        <v>45645</v>
      </c>
      <c r="B392">
        <v>2024</v>
      </c>
      <c r="C392">
        <v>12</v>
      </c>
      <c r="D392">
        <v>4</v>
      </c>
      <c r="E392" t="s">
        <v>32</v>
      </c>
      <c r="F392" t="s">
        <v>19</v>
      </c>
      <c r="G392" t="s">
        <v>16</v>
      </c>
      <c r="H392" t="s">
        <v>21</v>
      </c>
      <c r="I392">
        <v>14</v>
      </c>
      <c r="J392">
        <v>82</v>
      </c>
      <c r="K392">
        <v>1148</v>
      </c>
      <c r="L392" t="str">
        <f>IF(tblVendas[[#This Row],[regiao]]="", "Não informado", tblVendas[[#This Row],[regiao]])</f>
        <v>Centro-Oeste</v>
      </c>
      <c r="M392" t="str">
        <f>IF(tblVendas[[#This Row],[categoria]]="", "Outros", tblVendas[[#This Row],[categoria]])</f>
        <v>Vestuário</v>
      </c>
      <c r="N392">
        <f>IF(tblVendas[[#This Row],[valor_total]]&lt;0, MEDIAN(tblVendas[valor_total]), tblVendas[[#This Row],[valor_total]])</f>
        <v>1148</v>
      </c>
    </row>
    <row r="393" spans="1:14" x14ac:dyDescent="0.25">
      <c r="A393" s="1">
        <v>45613</v>
      </c>
      <c r="B393">
        <v>2024</v>
      </c>
      <c r="C393">
        <v>11</v>
      </c>
      <c r="D393">
        <v>4</v>
      </c>
      <c r="E393" t="s">
        <v>18</v>
      </c>
      <c r="F393" t="s">
        <v>12</v>
      </c>
      <c r="G393" t="s">
        <v>16</v>
      </c>
      <c r="H393" t="s">
        <v>26</v>
      </c>
      <c r="I393">
        <v>6</v>
      </c>
      <c r="J393">
        <v>68</v>
      </c>
      <c r="K393">
        <v>408</v>
      </c>
      <c r="L393" t="str">
        <f>IF(tblVendas[[#This Row],[regiao]]="", "Não informado", tblVendas[[#This Row],[regiao]])</f>
        <v>Sul</v>
      </c>
      <c r="M393" t="str">
        <f>IF(tblVendas[[#This Row],[categoria]]="", "Outros", tblVendas[[#This Row],[categoria]])</f>
        <v>Calçados</v>
      </c>
      <c r="N393">
        <f>IF(tblVendas[[#This Row],[valor_total]]&lt;0, MEDIAN(tblVendas[valor_total]), tblVendas[[#This Row],[valor_total]])</f>
        <v>408</v>
      </c>
    </row>
    <row r="394" spans="1:14" x14ac:dyDescent="0.25">
      <c r="A394" s="1">
        <v>45579</v>
      </c>
      <c r="B394">
        <v>2024</v>
      </c>
      <c r="C394">
        <v>10</v>
      </c>
      <c r="D394">
        <v>4</v>
      </c>
      <c r="E394" t="s">
        <v>30</v>
      </c>
      <c r="F394" t="s">
        <v>19</v>
      </c>
      <c r="G394" t="s">
        <v>16</v>
      </c>
      <c r="H394" t="s">
        <v>29</v>
      </c>
      <c r="I394">
        <v>14</v>
      </c>
      <c r="J394">
        <v>94</v>
      </c>
      <c r="K394">
        <v>1316</v>
      </c>
      <c r="L394" t="str">
        <f>IF(tblVendas[[#This Row],[regiao]]="", "Não informado", tblVendas[[#This Row],[regiao]])</f>
        <v>Oeste</v>
      </c>
      <c r="M394" t="str">
        <f>IF(tblVendas[[#This Row],[categoria]]="", "Outros", tblVendas[[#This Row],[categoria]])</f>
        <v>Vestuário</v>
      </c>
      <c r="N394">
        <f>IF(tblVendas[[#This Row],[valor_total]]&lt;0, MEDIAN(tblVendas[valor_total]), tblVendas[[#This Row],[valor_total]])</f>
        <v>1316</v>
      </c>
    </row>
    <row r="395" spans="1:14" x14ac:dyDescent="0.25">
      <c r="A395" s="1">
        <v>45506</v>
      </c>
      <c r="B395">
        <v>2024</v>
      </c>
      <c r="C395">
        <v>8</v>
      </c>
      <c r="D395">
        <v>3</v>
      </c>
      <c r="E395" t="s">
        <v>33</v>
      </c>
      <c r="F395" t="s">
        <v>23</v>
      </c>
      <c r="G395" t="s">
        <v>28</v>
      </c>
      <c r="H395" t="s">
        <v>26</v>
      </c>
      <c r="I395">
        <v>4</v>
      </c>
      <c r="J395">
        <v>174</v>
      </c>
      <c r="K395">
        <v>696</v>
      </c>
      <c r="L395" t="str">
        <f>IF(tblVendas[[#This Row],[regiao]]="", "Não informado", tblVendas[[#This Row],[regiao]])</f>
        <v>Sul</v>
      </c>
      <c r="M395" t="str">
        <f>IF(tblVendas[[#This Row],[categoria]]="", "Outros", tblVendas[[#This Row],[categoria]])</f>
        <v>Acessórios</v>
      </c>
      <c r="N395">
        <f>IF(tblVendas[[#This Row],[valor_total]]&lt;0, MEDIAN(tblVendas[valor_total]), tblVendas[[#This Row],[valor_total]])</f>
        <v>696</v>
      </c>
    </row>
    <row r="396" spans="1:14" x14ac:dyDescent="0.25">
      <c r="A396" s="1">
        <v>45633</v>
      </c>
      <c r="B396">
        <v>2024</v>
      </c>
      <c r="C396">
        <v>12</v>
      </c>
      <c r="D396">
        <v>4</v>
      </c>
      <c r="E396" t="s">
        <v>30</v>
      </c>
      <c r="F396" t="s">
        <v>19</v>
      </c>
      <c r="G396" t="s">
        <v>24</v>
      </c>
      <c r="H396" t="s">
        <v>29</v>
      </c>
      <c r="I396">
        <v>8</v>
      </c>
      <c r="J396">
        <v>187</v>
      </c>
      <c r="K396">
        <v>1496</v>
      </c>
      <c r="L396" t="str">
        <f>IF(tblVendas[[#This Row],[regiao]]="", "Não informado", tblVendas[[#This Row],[regiao]])</f>
        <v>Oeste</v>
      </c>
      <c r="M396" t="str">
        <f>IF(tblVendas[[#This Row],[categoria]]="", "Outros", tblVendas[[#This Row],[categoria]])</f>
        <v>Vestuário</v>
      </c>
      <c r="N396">
        <f>IF(tblVendas[[#This Row],[valor_total]]&lt;0, MEDIAN(tblVendas[valor_total]), tblVendas[[#This Row],[valor_total]])</f>
        <v>1496</v>
      </c>
    </row>
    <row r="397" spans="1:14" x14ac:dyDescent="0.25">
      <c r="A397" s="1">
        <v>45342</v>
      </c>
      <c r="B397">
        <v>2024</v>
      </c>
      <c r="C397">
        <v>2</v>
      </c>
      <c r="D397">
        <v>1</v>
      </c>
      <c r="E397" t="s">
        <v>33</v>
      </c>
      <c r="F397" t="s">
        <v>23</v>
      </c>
      <c r="G397" t="s">
        <v>16</v>
      </c>
      <c r="H397" t="s">
        <v>29</v>
      </c>
      <c r="I397">
        <v>3</v>
      </c>
      <c r="J397">
        <v>42</v>
      </c>
      <c r="K397">
        <v>126</v>
      </c>
      <c r="L397" t="str">
        <f>IF(tblVendas[[#This Row],[regiao]]="", "Não informado", tblVendas[[#This Row],[regiao]])</f>
        <v>Oeste</v>
      </c>
      <c r="M397" t="str">
        <f>IF(tblVendas[[#This Row],[categoria]]="", "Outros", tblVendas[[#This Row],[categoria]])</f>
        <v>Acessórios</v>
      </c>
      <c r="N397">
        <f>IF(tblVendas[[#This Row],[valor_total]]&lt;0, MEDIAN(tblVendas[valor_total]), tblVendas[[#This Row],[valor_total]])</f>
        <v>126</v>
      </c>
    </row>
    <row r="398" spans="1:14" x14ac:dyDescent="0.25">
      <c r="A398" s="1">
        <v>45444</v>
      </c>
      <c r="B398">
        <v>2024</v>
      </c>
      <c r="C398">
        <v>6</v>
      </c>
      <c r="D398">
        <v>2</v>
      </c>
      <c r="E398" t="s">
        <v>33</v>
      </c>
      <c r="F398" t="s">
        <v>12</v>
      </c>
      <c r="G398" t="s">
        <v>28</v>
      </c>
      <c r="H398" t="s">
        <v>26</v>
      </c>
      <c r="I398">
        <v>19</v>
      </c>
      <c r="J398">
        <v>50</v>
      </c>
      <c r="K398">
        <v>950</v>
      </c>
      <c r="L398" t="str">
        <f>IF(tblVendas[[#This Row],[regiao]]="", "Não informado", tblVendas[[#This Row],[regiao]])</f>
        <v>Sul</v>
      </c>
      <c r="M398" t="str">
        <f>IF(tblVendas[[#This Row],[categoria]]="", "Outros", tblVendas[[#This Row],[categoria]])</f>
        <v>Calçados</v>
      </c>
      <c r="N398">
        <f>IF(tblVendas[[#This Row],[valor_total]]&lt;0, MEDIAN(tblVendas[valor_total]), tblVendas[[#This Row],[valor_total]])</f>
        <v>950</v>
      </c>
    </row>
    <row r="399" spans="1:14" x14ac:dyDescent="0.25">
      <c r="A399" s="1">
        <v>45477</v>
      </c>
      <c r="B399">
        <v>2024</v>
      </c>
      <c r="C399">
        <v>7</v>
      </c>
      <c r="D399">
        <v>3</v>
      </c>
      <c r="E399" t="s">
        <v>11</v>
      </c>
      <c r="F399" t="s">
        <v>23</v>
      </c>
      <c r="G399" t="s">
        <v>24</v>
      </c>
      <c r="H399" t="s">
        <v>17</v>
      </c>
      <c r="I399">
        <v>14</v>
      </c>
      <c r="J399">
        <v>176</v>
      </c>
      <c r="K399">
        <v>2464</v>
      </c>
      <c r="L399" t="str">
        <f>IF(tblVendas[[#This Row],[regiao]]="", "Não informado", tblVendas[[#This Row],[regiao]])</f>
        <v>Leste</v>
      </c>
      <c r="M399" t="str">
        <f>IF(tblVendas[[#This Row],[categoria]]="", "Outros", tblVendas[[#This Row],[categoria]])</f>
        <v>Acessórios</v>
      </c>
      <c r="N399">
        <f>IF(tblVendas[[#This Row],[valor_total]]&lt;0, MEDIAN(tblVendas[valor_total]), tblVendas[[#This Row],[valor_total]])</f>
        <v>2464</v>
      </c>
    </row>
    <row r="400" spans="1:14" x14ac:dyDescent="0.25">
      <c r="A400" s="1">
        <v>45354</v>
      </c>
      <c r="B400">
        <v>2024</v>
      </c>
      <c r="C400">
        <v>3</v>
      </c>
      <c r="D400">
        <v>1</v>
      </c>
      <c r="E400" t="s">
        <v>22</v>
      </c>
      <c r="F400" t="s">
        <v>23</v>
      </c>
      <c r="G400" t="s">
        <v>20</v>
      </c>
      <c r="H400" t="s">
        <v>14</v>
      </c>
      <c r="I400">
        <v>17</v>
      </c>
      <c r="J400">
        <v>82</v>
      </c>
      <c r="K400">
        <v>1394</v>
      </c>
      <c r="L400" t="str">
        <f>IF(tblVendas[[#This Row],[regiao]]="", "Não informado", tblVendas[[#This Row],[regiao]])</f>
        <v>Norte</v>
      </c>
      <c r="M400" t="str">
        <f>IF(tblVendas[[#This Row],[categoria]]="", "Outros", tblVendas[[#This Row],[categoria]])</f>
        <v>Acessórios</v>
      </c>
      <c r="N400">
        <f>IF(tblVendas[[#This Row],[valor_total]]&lt;0, MEDIAN(tblVendas[valor_total]), tblVendas[[#This Row],[valor_total]])</f>
        <v>1394</v>
      </c>
    </row>
    <row r="401" spans="1:14" x14ac:dyDescent="0.25">
      <c r="A401" s="1">
        <v>45481</v>
      </c>
      <c r="B401">
        <v>2024</v>
      </c>
      <c r="C401">
        <v>7</v>
      </c>
      <c r="D401">
        <v>3</v>
      </c>
      <c r="E401" t="s">
        <v>25</v>
      </c>
      <c r="F401" t="s">
        <v>19</v>
      </c>
      <c r="G401" t="s">
        <v>28</v>
      </c>
      <c r="H401" t="s">
        <v>21</v>
      </c>
      <c r="I401">
        <v>8</v>
      </c>
      <c r="J401">
        <v>48</v>
      </c>
      <c r="K401">
        <v>384</v>
      </c>
      <c r="L401" t="str">
        <f>IF(tblVendas[[#This Row],[regiao]]="", "Não informado", tblVendas[[#This Row],[regiao]])</f>
        <v>Centro-Oeste</v>
      </c>
      <c r="M401" t="str">
        <f>IF(tblVendas[[#This Row],[categoria]]="", "Outros", tblVendas[[#This Row],[categoria]])</f>
        <v>Vestuário</v>
      </c>
      <c r="N401">
        <f>IF(tblVendas[[#This Row],[valor_total]]&lt;0, MEDIAN(tblVendas[valor_total]), tblVendas[[#This Row],[valor_total]])</f>
        <v>384</v>
      </c>
    </row>
    <row r="402" spans="1:14" x14ac:dyDescent="0.25">
      <c r="A402" s="1">
        <v>45416</v>
      </c>
      <c r="B402">
        <v>2024</v>
      </c>
      <c r="C402">
        <v>5</v>
      </c>
      <c r="D402">
        <v>2</v>
      </c>
      <c r="E402" t="s">
        <v>11</v>
      </c>
      <c r="F402" t="s">
        <v>19</v>
      </c>
      <c r="G402" t="s">
        <v>13</v>
      </c>
      <c r="H402" t="s">
        <v>29</v>
      </c>
      <c r="I402">
        <v>14</v>
      </c>
      <c r="J402">
        <v>86</v>
      </c>
      <c r="K402">
        <v>1204</v>
      </c>
      <c r="L402" t="str">
        <f>IF(tblVendas[[#This Row],[regiao]]="", "Não informado", tblVendas[[#This Row],[regiao]])</f>
        <v>Oeste</v>
      </c>
      <c r="M402" t="str">
        <f>IF(tblVendas[[#This Row],[categoria]]="", "Outros", tblVendas[[#This Row],[categoria]])</f>
        <v>Vestuário</v>
      </c>
      <c r="N402">
        <f>IF(tblVendas[[#This Row],[valor_total]]&lt;0, MEDIAN(tblVendas[valor_total]), tblVendas[[#This Row],[valor_total]])</f>
        <v>1204</v>
      </c>
    </row>
    <row r="403" spans="1:14" x14ac:dyDescent="0.25">
      <c r="A403" s="1">
        <v>45441</v>
      </c>
      <c r="B403">
        <v>2024</v>
      </c>
      <c r="C403">
        <v>5</v>
      </c>
      <c r="D403">
        <v>2</v>
      </c>
      <c r="E403" t="s">
        <v>32</v>
      </c>
      <c r="F403" t="s">
        <v>23</v>
      </c>
      <c r="G403" t="s">
        <v>28</v>
      </c>
      <c r="H403" t="s">
        <v>21</v>
      </c>
      <c r="I403">
        <v>6</v>
      </c>
      <c r="J403">
        <v>54</v>
      </c>
      <c r="K403">
        <v>324</v>
      </c>
      <c r="L403" t="str">
        <f>IF(tblVendas[[#This Row],[regiao]]="", "Não informado", tblVendas[[#This Row],[regiao]])</f>
        <v>Centro-Oeste</v>
      </c>
      <c r="M403" t="str">
        <f>IF(tblVendas[[#This Row],[categoria]]="", "Outros", tblVendas[[#This Row],[categoria]])</f>
        <v>Acessórios</v>
      </c>
      <c r="N403">
        <f>IF(tblVendas[[#This Row],[valor_total]]&lt;0, MEDIAN(tblVendas[valor_total]), tblVendas[[#This Row],[valor_total]])</f>
        <v>324</v>
      </c>
    </row>
    <row r="404" spans="1:14" x14ac:dyDescent="0.25">
      <c r="A404" s="1">
        <v>45605</v>
      </c>
      <c r="B404">
        <v>2024</v>
      </c>
      <c r="C404">
        <v>11</v>
      </c>
      <c r="D404">
        <v>4</v>
      </c>
      <c r="E404" t="s">
        <v>11</v>
      </c>
      <c r="F404" t="s">
        <v>19</v>
      </c>
      <c r="G404" t="s">
        <v>28</v>
      </c>
      <c r="H404" t="s">
        <v>26</v>
      </c>
      <c r="I404">
        <v>16</v>
      </c>
      <c r="J404">
        <v>60</v>
      </c>
      <c r="K404">
        <v>960</v>
      </c>
      <c r="L404" t="str">
        <f>IF(tblVendas[[#This Row],[regiao]]="", "Não informado", tblVendas[[#This Row],[regiao]])</f>
        <v>Sul</v>
      </c>
      <c r="M404" t="str">
        <f>IF(tblVendas[[#This Row],[categoria]]="", "Outros", tblVendas[[#This Row],[categoria]])</f>
        <v>Vestuário</v>
      </c>
      <c r="N404">
        <f>IF(tblVendas[[#This Row],[valor_total]]&lt;0, MEDIAN(tblVendas[valor_total]), tblVendas[[#This Row],[valor_total]])</f>
        <v>960</v>
      </c>
    </row>
    <row r="405" spans="1:14" x14ac:dyDescent="0.25">
      <c r="A405" s="1">
        <v>45349</v>
      </c>
      <c r="B405">
        <v>2024</v>
      </c>
      <c r="C405">
        <v>2</v>
      </c>
      <c r="D405">
        <v>1</v>
      </c>
      <c r="E405" t="s">
        <v>27</v>
      </c>
      <c r="F405" t="s">
        <v>12</v>
      </c>
      <c r="G405" t="s">
        <v>24</v>
      </c>
      <c r="H405" t="s">
        <v>21</v>
      </c>
      <c r="I405">
        <v>19</v>
      </c>
      <c r="J405">
        <v>110</v>
      </c>
      <c r="K405">
        <v>2090</v>
      </c>
      <c r="L405" t="str">
        <f>IF(tblVendas[[#This Row],[regiao]]="", "Não informado", tblVendas[[#This Row],[regiao]])</f>
        <v>Centro-Oeste</v>
      </c>
      <c r="M405" t="str">
        <f>IF(tblVendas[[#This Row],[categoria]]="", "Outros", tblVendas[[#This Row],[categoria]])</f>
        <v>Calçados</v>
      </c>
      <c r="N405">
        <f>IF(tblVendas[[#This Row],[valor_total]]&lt;0, MEDIAN(tblVendas[valor_total]), tblVendas[[#This Row],[valor_total]])</f>
        <v>2090</v>
      </c>
    </row>
    <row r="406" spans="1:14" x14ac:dyDescent="0.25">
      <c r="A406" s="1">
        <v>45633</v>
      </c>
      <c r="B406">
        <v>2024</v>
      </c>
      <c r="C406">
        <v>12</v>
      </c>
      <c r="D406">
        <v>4</v>
      </c>
      <c r="E406" t="s">
        <v>27</v>
      </c>
      <c r="F406" t="s">
        <v>12</v>
      </c>
      <c r="G406" t="s">
        <v>20</v>
      </c>
      <c r="H406" t="s">
        <v>26</v>
      </c>
      <c r="I406">
        <v>14</v>
      </c>
      <c r="J406">
        <v>52</v>
      </c>
      <c r="K406">
        <v>728</v>
      </c>
      <c r="L406" t="str">
        <f>IF(tblVendas[[#This Row],[regiao]]="", "Não informado", tblVendas[[#This Row],[regiao]])</f>
        <v>Sul</v>
      </c>
      <c r="M406" t="str">
        <f>IF(tblVendas[[#This Row],[categoria]]="", "Outros", tblVendas[[#This Row],[categoria]])</f>
        <v>Calçados</v>
      </c>
      <c r="N406">
        <f>IF(tblVendas[[#This Row],[valor_total]]&lt;0, MEDIAN(tblVendas[valor_total]), tblVendas[[#This Row],[valor_total]])</f>
        <v>728</v>
      </c>
    </row>
    <row r="407" spans="1:14" x14ac:dyDescent="0.25">
      <c r="A407" s="1">
        <v>45596</v>
      </c>
      <c r="B407">
        <v>2024</v>
      </c>
      <c r="C407">
        <v>10</v>
      </c>
      <c r="D407">
        <v>4</v>
      </c>
      <c r="E407" t="s">
        <v>25</v>
      </c>
      <c r="F407" t="s">
        <v>19</v>
      </c>
      <c r="G407" t="s">
        <v>13</v>
      </c>
      <c r="H407" t="s">
        <v>21</v>
      </c>
      <c r="I407">
        <v>19</v>
      </c>
      <c r="J407">
        <v>61</v>
      </c>
      <c r="K407">
        <v>1159</v>
      </c>
      <c r="L407" t="str">
        <f>IF(tblVendas[[#This Row],[regiao]]="", "Não informado", tblVendas[[#This Row],[regiao]])</f>
        <v>Centro-Oeste</v>
      </c>
      <c r="M407" t="str">
        <f>IF(tblVendas[[#This Row],[categoria]]="", "Outros", tblVendas[[#This Row],[categoria]])</f>
        <v>Vestuário</v>
      </c>
      <c r="N407">
        <f>IF(tblVendas[[#This Row],[valor_total]]&lt;0, MEDIAN(tblVendas[valor_total]), tblVendas[[#This Row],[valor_total]])</f>
        <v>1159</v>
      </c>
    </row>
    <row r="408" spans="1:14" x14ac:dyDescent="0.25">
      <c r="A408" s="1">
        <v>45471</v>
      </c>
      <c r="B408">
        <v>2024</v>
      </c>
      <c r="C408">
        <v>6</v>
      </c>
      <c r="D408">
        <v>2</v>
      </c>
      <c r="E408" t="s">
        <v>30</v>
      </c>
      <c r="F408" t="s">
        <v>12</v>
      </c>
      <c r="G408" t="s">
        <v>16</v>
      </c>
      <c r="H408" t="s">
        <v>14</v>
      </c>
      <c r="I408">
        <v>3</v>
      </c>
      <c r="J408">
        <v>103</v>
      </c>
      <c r="K408">
        <v>309</v>
      </c>
      <c r="L408" t="str">
        <f>IF(tblVendas[[#This Row],[regiao]]="", "Não informado", tblVendas[[#This Row],[regiao]])</f>
        <v>Norte</v>
      </c>
      <c r="M408" t="str">
        <f>IF(tblVendas[[#This Row],[categoria]]="", "Outros", tblVendas[[#This Row],[categoria]])</f>
        <v>Calçados</v>
      </c>
      <c r="N408">
        <f>IF(tblVendas[[#This Row],[valor_total]]&lt;0, MEDIAN(tblVendas[valor_total]), tblVendas[[#This Row],[valor_total]])</f>
        <v>309</v>
      </c>
    </row>
    <row r="409" spans="1:14" x14ac:dyDescent="0.25">
      <c r="A409" s="1">
        <v>45461</v>
      </c>
      <c r="B409">
        <v>2024</v>
      </c>
      <c r="C409">
        <v>6</v>
      </c>
      <c r="D409">
        <v>2</v>
      </c>
      <c r="E409" t="s">
        <v>22</v>
      </c>
      <c r="F409" t="s">
        <v>19</v>
      </c>
      <c r="G409" t="s">
        <v>16</v>
      </c>
      <c r="H409" t="s">
        <v>14</v>
      </c>
      <c r="I409">
        <v>10</v>
      </c>
      <c r="J409">
        <v>39</v>
      </c>
      <c r="K409">
        <v>390</v>
      </c>
      <c r="L409" t="str">
        <f>IF(tblVendas[[#This Row],[regiao]]="", "Não informado", tblVendas[[#This Row],[regiao]])</f>
        <v>Norte</v>
      </c>
      <c r="M409" t="str">
        <f>IF(tblVendas[[#This Row],[categoria]]="", "Outros", tblVendas[[#This Row],[categoria]])</f>
        <v>Vestuário</v>
      </c>
      <c r="N409">
        <f>IF(tblVendas[[#This Row],[valor_total]]&lt;0, MEDIAN(tblVendas[valor_total]), tblVendas[[#This Row],[valor_total]])</f>
        <v>390</v>
      </c>
    </row>
    <row r="410" spans="1:14" x14ac:dyDescent="0.25">
      <c r="A410" s="1">
        <v>45617</v>
      </c>
      <c r="B410">
        <v>2024</v>
      </c>
      <c r="C410">
        <v>11</v>
      </c>
      <c r="D410">
        <v>4</v>
      </c>
      <c r="E410" t="s">
        <v>25</v>
      </c>
      <c r="F410" t="s">
        <v>23</v>
      </c>
      <c r="G410" t="s">
        <v>28</v>
      </c>
      <c r="H410" t="s">
        <v>14</v>
      </c>
      <c r="I410">
        <v>19</v>
      </c>
      <c r="J410">
        <v>83</v>
      </c>
      <c r="K410">
        <v>1577</v>
      </c>
      <c r="L410" t="str">
        <f>IF(tblVendas[[#This Row],[regiao]]="", "Não informado", tblVendas[[#This Row],[regiao]])</f>
        <v>Norte</v>
      </c>
      <c r="M410" t="str">
        <f>IF(tblVendas[[#This Row],[categoria]]="", "Outros", tblVendas[[#This Row],[categoria]])</f>
        <v>Acessórios</v>
      </c>
      <c r="N410">
        <f>IF(tblVendas[[#This Row],[valor_total]]&lt;0, MEDIAN(tblVendas[valor_total]), tblVendas[[#This Row],[valor_total]])</f>
        <v>1577</v>
      </c>
    </row>
    <row r="411" spans="1:14" x14ac:dyDescent="0.25">
      <c r="A411" s="1">
        <v>45562</v>
      </c>
      <c r="B411">
        <v>2024</v>
      </c>
      <c r="C411">
        <v>9</v>
      </c>
      <c r="D411">
        <v>3</v>
      </c>
      <c r="E411" t="s">
        <v>33</v>
      </c>
      <c r="F411" t="s">
        <v>23</v>
      </c>
      <c r="G411" t="s">
        <v>24</v>
      </c>
      <c r="H411" t="s">
        <v>14</v>
      </c>
      <c r="I411">
        <v>9</v>
      </c>
      <c r="J411">
        <v>81</v>
      </c>
      <c r="K411">
        <v>729</v>
      </c>
      <c r="L411" t="str">
        <f>IF(tblVendas[[#This Row],[regiao]]="", "Não informado", tblVendas[[#This Row],[regiao]])</f>
        <v>Norte</v>
      </c>
      <c r="M411" t="str">
        <f>IF(tblVendas[[#This Row],[categoria]]="", "Outros", tblVendas[[#This Row],[categoria]])</f>
        <v>Acessórios</v>
      </c>
      <c r="N411">
        <f>IF(tblVendas[[#This Row],[valor_total]]&lt;0, MEDIAN(tblVendas[valor_total]), tblVendas[[#This Row],[valor_total]])</f>
        <v>729</v>
      </c>
    </row>
    <row r="412" spans="1:14" x14ac:dyDescent="0.25">
      <c r="A412" s="1">
        <v>45345</v>
      </c>
      <c r="B412">
        <v>2024</v>
      </c>
      <c r="C412">
        <v>2</v>
      </c>
      <c r="D412">
        <v>1</v>
      </c>
      <c r="E412" t="s">
        <v>15</v>
      </c>
      <c r="F412" t="s">
        <v>12</v>
      </c>
      <c r="G412" t="s">
        <v>24</v>
      </c>
      <c r="H412" t="s">
        <v>14</v>
      </c>
      <c r="I412">
        <v>13</v>
      </c>
      <c r="J412">
        <v>177</v>
      </c>
      <c r="K412">
        <v>2301</v>
      </c>
      <c r="L412" t="str">
        <f>IF(tblVendas[[#This Row],[regiao]]="", "Não informado", tblVendas[[#This Row],[regiao]])</f>
        <v>Norte</v>
      </c>
      <c r="M412" t="str">
        <f>IF(tblVendas[[#This Row],[categoria]]="", "Outros", tblVendas[[#This Row],[categoria]])</f>
        <v>Calçados</v>
      </c>
      <c r="N412">
        <f>IF(tblVendas[[#This Row],[valor_total]]&lt;0, MEDIAN(tblVendas[valor_total]), tblVendas[[#This Row],[valor_total]])</f>
        <v>2301</v>
      </c>
    </row>
    <row r="413" spans="1:14" x14ac:dyDescent="0.25">
      <c r="A413" s="1">
        <v>45392</v>
      </c>
      <c r="B413">
        <v>2024</v>
      </c>
      <c r="C413">
        <v>4</v>
      </c>
      <c r="D413">
        <v>2</v>
      </c>
      <c r="E413" t="s">
        <v>22</v>
      </c>
      <c r="F413" t="s">
        <v>19</v>
      </c>
      <c r="G413" t="s">
        <v>16</v>
      </c>
      <c r="H413" t="s">
        <v>14</v>
      </c>
      <c r="I413">
        <v>7</v>
      </c>
      <c r="J413">
        <v>189</v>
      </c>
      <c r="K413">
        <v>1323</v>
      </c>
      <c r="L413" t="str">
        <f>IF(tblVendas[[#This Row],[regiao]]="", "Não informado", tblVendas[[#This Row],[regiao]])</f>
        <v>Norte</v>
      </c>
      <c r="M413" t="str">
        <f>IF(tblVendas[[#This Row],[categoria]]="", "Outros", tblVendas[[#This Row],[categoria]])</f>
        <v>Vestuário</v>
      </c>
      <c r="N413">
        <f>IF(tblVendas[[#This Row],[valor_total]]&lt;0, MEDIAN(tblVendas[valor_total]), tblVendas[[#This Row],[valor_total]])</f>
        <v>1323</v>
      </c>
    </row>
    <row r="414" spans="1:14" x14ac:dyDescent="0.25">
      <c r="A414" s="1">
        <v>45555</v>
      </c>
      <c r="B414">
        <v>2024</v>
      </c>
      <c r="C414">
        <v>9</v>
      </c>
      <c r="D414">
        <v>3</v>
      </c>
      <c r="E414" t="s">
        <v>22</v>
      </c>
      <c r="F414" t="s">
        <v>19</v>
      </c>
      <c r="G414" t="s">
        <v>13</v>
      </c>
      <c r="H414" t="s">
        <v>26</v>
      </c>
      <c r="I414">
        <v>14</v>
      </c>
      <c r="J414">
        <v>143</v>
      </c>
      <c r="K414">
        <v>2002</v>
      </c>
      <c r="L414" t="str">
        <f>IF(tblVendas[[#This Row],[regiao]]="", "Não informado", tblVendas[[#This Row],[regiao]])</f>
        <v>Sul</v>
      </c>
      <c r="M414" t="str">
        <f>IF(tblVendas[[#This Row],[categoria]]="", "Outros", tblVendas[[#This Row],[categoria]])</f>
        <v>Vestuário</v>
      </c>
      <c r="N414">
        <f>IF(tblVendas[[#This Row],[valor_total]]&lt;0, MEDIAN(tblVendas[valor_total]), tblVendas[[#This Row],[valor_total]])</f>
        <v>2002</v>
      </c>
    </row>
    <row r="415" spans="1:14" x14ac:dyDescent="0.25">
      <c r="A415" s="1">
        <v>45344</v>
      </c>
      <c r="B415">
        <v>2024</v>
      </c>
      <c r="C415">
        <v>2</v>
      </c>
      <c r="D415">
        <v>1</v>
      </c>
      <c r="E415" t="s">
        <v>33</v>
      </c>
      <c r="F415" t="s">
        <v>12</v>
      </c>
      <c r="G415" t="s">
        <v>20</v>
      </c>
      <c r="H415" t="s">
        <v>29</v>
      </c>
      <c r="I415">
        <v>9</v>
      </c>
      <c r="J415">
        <v>43</v>
      </c>
      <c r="K415">
        <v>387</v>
      </c>
      <c r="L415" t="str">
        <f>IF(tblVendas[[#This Row],[regiao]]="", "Não informado", tblVendas[[#This Row],[regiao]])</f>
        <v>Oeste</v>
      </c>
      <c r="M415" t="str">
        <f>IF(tblVendas[[#This Row],[categoria]]="", "Outros", tblVendas[[#This Row],[categoria]])</f>
        <v>Calçados</v>
      </c>
      <c r="N415">
        <f>IF(tblVendas[[#This Row],[valor_total]]&lt;0, MEDIAN(tblVendas[valor_total]), tblVendas[[#This Row],[valor_total]])</f>
        <v>387</v>
      </c>
    </row>
    <row r="416" spans="1:14" x14ac:dyDescent="0.25">
      <c r="A416" s="1">
        <v>45351</v>
      </c>
      <c r="B416">
        <v>2024</v>
      </c>
      <c r="C416">
        <v>2</v>
      </c>
      <c r="D416">
        <v>1</v>
      </c>
      <c r="E416" t="s">
        <v>33</v>
      </c>
      <c r="F416" t="s">
        <v>23</v>
      </c>
      <c r="G416" t="s">
        <v>13</v>
      </c>
      <c r="H416" t="s">
        <v>21</v>
      </c>
      <c r="I416">
        <v>19</v>
      </c>
      <c r="J416">
        <v>185</v>
      </c>
      <c r="K416">
        <v>3515</v>
      </c>
      <c r="L416" t="str">
        <f>IF(tblVendas[[#This Row],[regiao]]="", "Não informado", tblVendas[[#This Row],[regiao]])</f>
        <v>Centro-Oeste</v>
      </c>
      <c r="M416" t="str">
        <f>IF(tblVendas[[#This Row],[categoria]]="", "Outros", tblVendas[[#This Row],[categoria]])</f>
        <v>Acessórios</v>
      </c>
      <c r="N416">
        <f>IF(tblVendas[[#This Row],[valor_total]]&lt;0, MEDIAN(tblVendas[valor_total]), tblVendas[[#This Row],[valor_total]])</f>
        <v>3515</v>
      </c>
    </row>
    <row r="417" spans="1:14" x14ac:dyDescent="0.25">
      <c r="A417" s="1">
        <v>45399</v>
      </c>
      <c r="B417">
        <v>2024</v>
      </c>
      <c r="C417">
        <v>4</v>
      </c>
      <c r="D417">
        <v>2</v>
      </c>
      <c r="E417" t="s">
        <v>18</v>
      </c>
      <c r="F417" t="s">
        <v>12</v>
      </c>
      <c r="G417" t="s">
        <v>20</v>
      </c>
      <c r="H417" t="s">
        <v>14</v>
      </c>
      <c r="I417">
        <v>15</v>
      </c>
      <c r="J417">
        <v>139</v>
      </c>
      <c r="K417">
        <v>2085</v>
      </c>
      <c r="L417" t="str">
        <f>IF(tblVendas[[#This Row],[regiao]]="", "Não informado", tblVendas[[#This Row],[regiao]])</f>
        <v>Norte</v>
      </c>
      <c r="M417" t="str">
        <f>IF(tblVendas[[#This Row],[categoria]]="", "Outros", tblVendas[[#This Row],[categoria]])</f>
        <v>Calçados</v>
      </c>
      <c r="N417">
        <f>IF(tblVendas[[#This Row],[valor_total]]&lt;0, MEDIAN(tblVendas[valor_total]), tblVendas[[#This Row],[valor_total]])</f>
        <v>2085</v>
      </c>
    </row>
    <row r="418" spans="1:14" x14ac:dyDescent="0.25">
      <c r="A418" s="1">
        <v>45296</v>
      </c>
      <c r="B418">
        <v>2024</v>
      </c>
      <c r="C418">
        <v>1</v>
      </c>
      <c r="D418">
        <v>1</v>
      </c>
      <c r="E418" t="s">
        <v>25</v>
      </c>
      <c r="F418" t="s">
        <v>23</v>
      </c>
      <c r="G418" t="s">
        <v>16</v>
      </c>
      <c r="H418" t="s">
        <v>26</v>
      </c>
      <c r="I418">
        <v>14</v>
      </c>
      <c r="J418">
        <v>82</v>
      </c>
      <c r="K418">
        <v>1148</v>
      </c>
      <c r="L418" t="str">
        <f>IF(tblVendas[[#This Row],[regiao]]="", "Não informado", tblVendas[[#This Row],[regiao]])</f>
        <v>Sul</v>
      </c>
      <c r="M418" t="str">
        <f>IF(tblVendas[[#This Row],[categoria]]="", "Outros", tblVendas[[#This Row],[categoria]])</f>
        <v>Acessórios</v>
      </c>
      <c r="N418">
        <f>IF(tblVendas[[#This Row],[valor_total]]&lt;0, MEDIAN(tblVendas[valor_total]), tblVendas[[#This Row],[valor_total]])</f>
        <v>1148</v>
      </c>
    </row>
    <row r="419" spans="1:14" x14ac:dyDescent="0.25">
      <c r="A419" s="1">
        <v>45394</v>
      </c>
      <c r="B419">
        <v>2024</v>
      </c>
      <c r="C419">
        <v>4</v>
      </c>
      <c r="D419">
        <v>2</v>
      </c>
      <c r="E419" t="s">
        <v>33</v>
      </c>
      <c r="F419" t="s">
        <v>19</v>
      </c>
      <c r="G419" t="s">
        <v>20</v>
      </c>
      <c r="H419" t="s">
        <v>26</v>
      </c>
      <c r="I419">
        <v>6</v>
      </c>
      <c r="J419">
        <v>181</v>
      </c>
      <c r="K419">
        <v>1086</v>
      </c>
      <c r="L419" t="str">
        <f>IF(tblVendas[[#This Row],[regiao]]="", "Não informado", tblVendas[[#This Row],[regiao]])</f>
        <v>Sul</v>
      </c>
      <c r="M419" t="str">
        <f>IF(tblVendas[[#This Row],[categoria]]="", "Outros", tblVendas[[#This Row],[categoria]])</f>
        <v>Vestuário</v>
      </c>
      <c r="N419">
        <f>IF(tblVendas[[#This Row],[valor_total]]&lt;0, MEDIAN(tblVendas[valor_total]), tblVendas[[#This Row],[valor_total]])</f>
        <v>1086</v>
      </c>
    </row>
    <row r="420" spans="1:14" x14ac:dyDescent="0.25">
      <c r="A420" s="1">
        <v>45487</v>
      </c>
      <c r="B420">
        <v>2024</v>
      </c>
      <c r="C420">
        <v>7</v>
      </c>
      <c r="D420">
        <v>3</v>
      </c>
      <c r="E420" t="s">
        <v>27</v>
      </c>
      <c r="F420" t="s">
        <v>23</v>
      </c>
      <c r="G420" t="s">
        <v>24</v>
      </c>
      <c r="H420" t="s">
        <v>26</v>
      </c>
      <c r="I420">
        <v>4</v>
      </c>
      <c r="J420">
        <v>108</v>
      </c>
      <c r="K420">
        <v>432</v>
      </c>
      <c r="L420" t="str">
        <f>IF(tblVendas[[#This Row],[regiao]]="", "Não informado", tblVendas[[#This Row],[regiao]])</f>
        <v>Sul</v>
      </c>
      <c r="M420" t="str">
        <f>IF(tblVendas[[#This Row],[categoria]]="", "Outros", tblVendas[[#This Row],[categoria]])</f>
        <v>Acessórios</v>
      </c>
      <c r="N420">
        <f>IF(tblVendas[[#This Row],[valor_total]]&lt;0, MEDIAN(tblVendas[valor_total]), tblVendas[[#This Row],[valor_total]])</f>
        <v>432</v>
      </c>
    </row>
    <row r="421" spans="1:14" x14ac:dyDescent="0.25">
      <c r="A421" s="1">
        <v>45553</v>
      </c>
      <c r="B421">
        <v>2024</v>
      </c>
      <c r="C421">
        <v>9</v>
      </c>
      <c r="D421">
        <v>3</v>
      </c>
      <c r="E421" t="s">
        <v>32</v>
      </c>
      <c r="F421" t="s">
        <v>12</v>
      </c>
      <c r="G421" t="s">
        <v>28</v>
      </c>
      <c r="H421" t="s">
        <v>29</v>
      </c>
      <c r="I421">
        <v>8</v>
      </c>
      <c r="J421">
        <v>51</v>
      </c>
      <c r="K421">
        <v>408</v>
      </c>
      <c r="L421" t="str">
        <f>IF(tblVendas[[#This Row],[regiao]]="", "Não informado", tblVendas[[#This Row],[regiao]])</f>
        <v>Oeste</v>
      </c>
      <c r="M421" t="str">
        <f>IF(tblVendas[[#This Row],[categoria]]="", "Outros", tblVendas[[#This Row],[categoria]])</f>
        <v>Calçados</v>
      </c>
      <c r="N421">
        <f>IF(tblVendas[[#This Row],[valor_total]]&lt;0, MEDIAN(tblVendas[valor_total]), tblVendas[[#This Row],[valor_total]])</f>
        <v>408</v>
      </c>
    </row>
    <row r="422" spans="1:14" x14ac:dyDescent="0.25">
      <c r="A422" s="1">
        <v>45656</v>
      </c>
      <c r="B422">
        <v>2024</v>
      </c>
      <c r="C422">
        <v>12</v>
      </c>
      <c r="D422">
        <v>4</v>
      </c>
      <c r="E422" t="s">
        <v>15</v>
      </c>
      <c r="F422" t="s">
        <v>19</v>
      </c>
      <c r="G422" t="s">
        <v>28</v>
      </c>
      <c r="H422" t="s">
        <v>21</v>
      </c>
      <c r="I422">
        <v>17</v>
      </c>
      <c r="J422">
        <v>59</v>
      </c>
      <c r="K422">
        <v>1003</v>
      </c>
      <c r="L422" t="str">
        <f>IF(tblVendas[[#This Row],[regiao]]="", "Não informado", tblVendas[[#This Row],[regiao]])</f>
        <v>Centro-Oeste</v>
      </c>
      <c r="M422" t="str">
        <f>IF(tblVendas[[#This Row],[categoria]]="", "Outros", tblVendas[[#This Row],[categoria]])</f>
        <v>Vestuário</v>
      </c>
      <c r="N422">
        <f>IF(tblVendas[[#This Row],[valor_total]]&lt;0, MEDIAN(tblVendas[valor_total]), tblVendas[[#This Row],[valor_total]])</f>
        <v>1003</v>
      </c>
    </row>
    <row r="423" spans="1:14" x14ac:dyDescent="0.25">
      <c r="A423" s="1">
        <v>45641</v>
      </c>
      <c r="B423">
        <v>2024</v>
      </c>
      <c r="C423">
        <v>12</v>
      </c>
      <c r="D423">
        <v>4</v>
      </c>
      <c r="E423" t="s">
        <v>25</v>
      </c>
      <c r="F423" t="s">
        <v>12</v>
      </c>
      <c r="G423" t="s">
        <v>16</v>
      </c>
      <c r="H423" t="s">
        <v>29</v>
      </c>
      <c r="I423">
        <v>9</v>
      </c>
      <c r="J423">
        <v>33</v>
      </c>
      <c r="K423">
        <v>297</v>
      </c>
      <c r="L423" t="str">
        <f>IF(tblVendas[[#This Row],[regiao]]="", "Não informado", tblVendas[[#This Row],[regiao]])</f>
        <v>Oeste</v>
      </c>
      <c r="M423" t="str">
        <f>IF(tblVendas[[#This Row],[categoria]]="", "Outros", tblVendas[[#This Row],[categoria]])</f>
        <v>Calçados</v>
      </c>
      <c r="N423">
        <f>IF(tblVendas[[#This Row],[valor_total]]&lt;0, MEDIAN(tblVendas[valor_total]), tblVendas[[#This Row],[valor_total]])</f>
        <v>297</v>
      </c>
    </row>
    <row r="424" spans="1:14" x14ac:dyDescent="0.25">
      <c r="A424" s="1">
        <v>45338</v>
      </c>
      <c r="B424">
        <v>2024</v>
      </c>
      <c r="C424">
        <v>2</v>
      </c>
      <c r="D424">
        <v>1</v>
      </c>
      <c r="E424" t="s">
        <v>31</v>
      </c>
      <c r="F424" t="s">
        <v>12</v>
      </c>
      <c r="G424" t="s">
        <v>24</v>
      </c>
      <c r="H424" t="s">
        <v>17</v>
      </c>
      <c r="I424">
        <v>1</v>
      </c>
      <c r="J424">
        <v>88</v>
      </c>
      <c r="K424">
        <v>88</v>
      </c>
      <c r="L424" t="str">
        <f>IF(tblVendas[[#This Row],[regiao]]="", "Não informado", tblVendas[[#This Row],[regiao]])</f>
        <v>Leste</v>
      </c>
      <c r="M424" t="str">
        <f>IF(tblVendas[[#This Row],[categoria]]="", "Outros", tblVendas[[#This Row],[categoria]])</f>
        <v>Calçados</v>
      </c>
      <c r="N424">
        <f>IF(tblVendas[[#This Row],[valor_total]]&lt;0, MEDIAN(tblVendas[valor_total]), tblVendas[[#This Row],[valor_total]])</f>
        <v>88</v>
      </c>
    </row>
    <row r="425" spans="1:14" x14ac:dyDescent="0.25">
      <c r="A425" s="1">
        <v>45646</v>
      </c>
      <c r="B425">
        <v>2024</v>
      </c>
      <c r="C425">
        <v>12</v>
      </c>
      <c r="D425">
        <v>4</v>
      </c>
      <c r="E425" t="s">
        <v>27</v>
      </c>
      <c r="F425" t="s">
        <v>23</v>
      </c>
      <c r="G425" t="s">
        <v>13</v>
      </c>
      <c r="H425" t="s">
        <v>26</v>
      </c>
      <c r="I425">
        <v>14</v>
      </c>
      <c r="J425">
        <v>37</v>
      </c>
      <c r="K425">
        <v>518</v>
      </c>
      <c r="L425" t="str">
        <f>IF(tblVendas[[#This Row],[regiao]]="", "Não informado", tblVendas[[#This Row],[regiao]])</f>
        <v>Sul</v>
      </c>
      <c r="M425" t="str">
        <f>IF(tblVendas[[#This Row],[categoria]]="", "Outros", tblVendas[[#This Row],[categoria]])</f>
        <v>Acessórios</v>
      </c>
      <c r="N425">
        <f>IF(tblVendas[[#This Row],[valor_total]]&lt;0, MEDIAN(tblVendas[valor_total]), tblVendas[[#This Row],[valor_total]])</f>
        <v>518</v>
      </c>
    </row>
    <row r="426" spans="1:14" x14ac:dyDescent="0.25">
      <c r="A426" s="1">
        <v>45602</v>
      </c>
      <c r="B426">
        <v>2024</v>
      </c>
      <c r="C426">
        <v>11</v>
      </c>
      <c r="D426">
        <v>4</v>
      </c>
      <c r="E426" t="s">
        <v>30</v>
      </c>
      <c r="F426" t="s">
        <v>12</v>
      </c>
      <c r="G426" t="s">
        <v>24</v>
      </c>
      <c r="H426" t="s">
        <v>17</v>
      </c>
      <c r="I426">
        <v>11</v>
      </c>
      <c r="J426">
        <v>41</v>
      </c>
      <c r="K426">
        <v>451</v>
      </c>
      <c r="L426" t="str">
        <f>IF(tblVendas[[#This Row],[regiao]]="", "Não informado", tblVendas[[#This Row],[regiao]])</f>
        <v>Leste</v>
      </c>
      <c r="M426" t="str">
        <f>IF(tblVendas[[#This Row],[categoria]]="", "Outros", tblVendas[[#This Row],[categoria]])</f>
        <v>Calçados</v>
      </c>
      <c r="N426">
        <f>IF(tblVendas[[#This Row],[valor_total]]&lt;0, MEDIAN(tblVendas[valor_total]), tblVendas[[#This Row],[valor_total]])</f>
        <v>451</v>
      </c>
    </row>
    <row r="427" spans="1:14" x14ac:dyDescent="0.25">
      <c r="A427" s="1">
        <v>45599</v>
      </c>
      <c r="B427">
        <v>2024</v>
      </c>
      <c r="C427">
        <v>11</v>
      </c>
      <c r="D427">
        <v>4</v>
      </c>
      <c r="E427" t="s">
        <v>33</v>
      </c>
      <c r="F427" t="s">
        <v>23</v>
      </c>
      <c r="G427" t="s">
        <v>28</v>
      </c>
      <c r="H427" t="s">
        <v>14</v>
      </c>
      <c r="I427">
        <v>3</v>
      </c>
      <c r="J427">
        <v>148</v>
      </c>
      <c r="K427">
        <v>444</v>
      </c>
      <c r="L427" t="str">
        <f>IF(tblVendas[[#This Row],[regiao]]="", "Não informado", tblVendas[[#This Row],[regiao]])</f>
        <v>Norte</v>
      </c>
      <c r="M427" t="str">
        <f>IF(tblVendas[[#This Row],[categoria]]="", "Outros", tblVendas[[#This Row],[categoria]])</f>
        <v>Acessórios</v>
      </c>
      <c r="N427">
        <f>IF(tblVendas[[#This Row],[valor_total]]&lt;0, MEDIAN(tblVendas[valor_total]), tblVendas[[#This Row],[valor_total]])</f>
        <v>444</v>
      </c>
    </row>
    <row r="428" spans="1:14" x14ac:dyDescent="0.25">
      <c r="A428" s="1">
        <v>45435</v>
      </c>
      <c r="B428">
        <v>2024</v>
      </c>
      <c r="C428">
        <v>5</v>
      </c>
      <c r="D428">
        <v>2</v>
      </c>
      <c r="E428" t="s">
        <v>31</v>
      </c>
      <c r="F428" t="s">
        <v>19</v>
      </c>
      <c r="G428" t="s">
        <v>28</v>
      </c>
      <c r="H428" t="s">
        <v>14</v>
      </c>
      <c r="I428">
        <v>9</v>
      </c>
      <c r="J428">
        <v>188</v>
      </c>
      <c r="K428">
        <v>1692</v>
      </c>
      <c r="L428" t="str">
        <f>IF(tblVendas[[#This Row],[regiao]]="", "Não informado", tblVendas[[#This Row],[regiao]])</f>
        <v>Norte</v>
      </c>
      <c r="M428" t="str">
        <f>IF(tblVendas[[#This Row],[categoria]]="", "Outros", tblVendas[[#This Row],[categoria]])</f>
        <v>Vestuário</v>
      </c>
      <c r="N428">
        <f>IF(tblVendas[[#This Row],[valor_total]]&lt;0, MEDIAN(tblVendas[valor_total]), tblVendas[[#This Row],[valor_total]])</f>
        <v>1692</v>
      </c>
    </row>
    <row r="429" spans="1:14" x14ac:dyDescent="0.25">
      <c r="A429" s="1">
        <v>45560</v>
      </c>
      <c r="B429">
        <v>2024</v>
      </c>
      <c r="C429">
        <v>9</v>
      </c>
      <c r="D429">
        <v>3</v>
      </c>
      <c r="E429" t="s">
        <v>33</v>
      </c>
      <c r="F429" t="s">
        <v>23</v>
      </c>
      <c r="G429" t="s">
        <v>24</v>
      </c>
      <c r="H429" t="s">
        <v>29</v>
      </c>
      <c r="I429">
        <v>14</v>
      </c>
      <c r="J429">
        <v>63</v>
      </c>
      <c r="K429">
        <v>882</v>
      </c>
      <c r="L429" t="str">
        <f>IF(tblVendas[[#This Row],[regiao]]="", "Não informado", tblVendas[[#This Row],[regiao]])</f>
        <v>Oeste</v>
      </c>
      <c r="M429" t="str">
        <f>IF(tblVendas[[#This Row],[categoria]]="", "Outros", tblVendas[[#This Row],[categoria]])</f>
        <v>Acessórios</v>
      </c>
      <c r="N429">
        <f>IF(tblVendas[[#This Row],[valor_total]]&lt;0, MEDIAN(tblVendas[valor_total]), tblVendas[[#This Row],[valor_total]])</f>
        <v>882</v>
      </c>
    </row>
    <row r="430" spans="1:14" x14ac:dyDescent="0.25">
      <c r="A430" s="1">
        <v>45415</v>
      </c>
      <c r="B430">
        <v>2024</v>
      </c>
      <c r="C430">
        <v>5</v>
      </c>
      <c r="D430">
        <v>2</v>
      </c>
      <c r="E430" t="s">
        <v>22</v>
      </c>
      <c r="F430" t="s">
        <v>19</v>
      </c>
      <c r="G430" t="s">
        <v>24</v>
      </c>
      <c r="H430" t="s">
        <v>21</v>
      </c>
      <c r="I430">
        <v>9</v>
      </c>
      <c r="J430">
        <v>111</v>
      </c>
      <c r="K430">
        <v>999</v>
      </c>
      <c r="L430" t="str">
        <f>IF(tblVendas[[#This Row],[regiao]]="", "Não informado", tblVendas[[#This Row],[regiao]])</f>
        <v>Centro-Oeste</v>
      </c>
      <c r="M430" t="str">
        <f>IF(tblVendas[[#This Row],[categoria]]="", "Outros", tblVendas[[#This Row],[categoria]])</f>
        <v>Vestuário</v>
      </c>
      <c r="N430">
        <f>IF(tblVendas[[#This Row],[valor_total]]&lt;0, MEDIAN(tblVendas[valor_total]), tblVendas[[#This Row],[valor_total]])</f>
        <v>999</v>
      </c>
    </row>
    <row r="431" spans="1:14" x14ac:dyDescent="0.25">
      <c r="A431" s="1">
        <v>45397</v>
      </c>
      <c r="B431">
        <v>2024</v>
      </c>
      <c r="C431">
        <v>4</v>
      </c>
      <c r="D431">
        <v>2</v>
      </c>
      <c r="E431" t="s">
        <v>27</v>
      </c>
      <c r="F431" t="s">
        <v>23</v>
      </c>
      <c r="G431" t="s">
        <v>28</v>
      </c>
      <c r="H431" t="s">
        <v>17</v>
      </c>
      <c r="I431">
        <v>4</v>
      </c>
      <c r="J431">
        <v>127</v>
      </c>
      <c r="K431">
        <v>508</v>
      </c>
      <c r="L431" t="str">
        <f>IF(tblVendas[[#This Row],[regiao]]="", "Não informado", tblVendas[[#This Row],[regiao]])</f>
        <v>Leste</v>
      </c>
      <c r="M431" t="str">
        <f>IF(tblVendas[[#This Row],[categoria]]="", "Outros", tblVendas[[#This Row],[categoria]])</f>
        <v>Acessórios</v>
      </c>
      <c r="N431">
        <f>IF(tblVendas[[#This Row],[valor_total]]&lt;0, MEDIAN(tblVendas[valor_total]), tblVendas[[#This Row],[valor_total]])</f>
        <v>508</v>
      </c>
    </row>
    <row r="432" spans="1:14" x14ac:dyDescent="0.25">
      <c r="A432" s="1">
        <v>45449</v>
      </c>
      <c r="B432">
        <v>2024</v>
      </c>
      <c r="C432">
        <v>6</v>
      </c>
      <c r="D432">
        <v>2</v>
      </c>
      <c r="E432" t="s">
        <v>22</v>
      </c>
      <c r="F432" t="s">
        <v>12</v>
      </c>
      <c r="G432" t="s">
        <v>13</v>
      </c>
      <c r="H432" t="s">
        <v>21</v>
      </c>
      <c r="I432">
        <v>4</v>
      </c>
      <c r="J432">
        <v>156</v>
      </c>
      <c r="K432">
        <v>624</v>
      </c>
      <c r="L432" t="str">
        <f>IF(tblVendas[[#This Row],[regiao]]="", "Não informado", tblVendas[[#This Row],[regiao]])</f>
        <v>Centro-Oeste</v>
      </c>
      <c r="M432" t="str">
        <f>IF(tblVendas[[#This Row],[categoria]]="", "Outros", tblVendas[[#This Row],[categoria]])</f>
        <v>Calçados</v>
      </c>
      <c r="N432">
        <f>IF(tblVendas[[#This Row],[valor_total]]&lt;0, MEDIAN(tblVendas[valor_total]), tblVendas[[#This Row],[valor_total]])</f>
        <v>624</v>
      </c>
    </row>
    <row r="433" spans="1:14" x14ac:dyDescent="0.25">
      <c r="A433" s="1">
        <v>45438</v>
      </c>
      <c r="B433">
        <v>2024</v>
      </c>
      <c r="C433">
        <v>5</v>
      </c>
      <c r="D433">
        <v>2</v>
      </c>
      <c r="E433" t="s">
        <v>18</v>
      </c>
      <c r="F433" t="s">
        <v>23</v>
      </c>
      <c r="G433" t="s">
        <v>16</v>
      </c>
      <c r="H433" t="s">
        <v>29</v>
      </c>
      <c r="I433">
        <v>8</v>
      </c>
      <c r="J433">
        <v>104</v>
      </c>
      <c r="K433">
        <v>832</v>
      </c>
      <c r="L433" t="str">
        <f>IF(tblVendas[[#This Row],[regiao]]="", "Não informado", tblVendas[[#This Row],[regiao]])</f>
        <v>Oeste</v>
      </c>
      <c r="M433" t="str">
        <f>IF(tblVendas[[#This Row],[categoria]]="", "Outros", tblVendas[[#This Row],[categoria]])</f>
        <v>Acessórios</v>
      </c>
      <c r="N433">
        <f>IF(tblVendas[[#This Row],[valor_total]]&lt;0, MEDIAN(tblVendas[valor_total]), tblVendas[[#This Row],[valor_total]])</f>
        <v>832</v>
      </c>
    </row>
    <row r="434" spans="1:14" x14ac:dyDescent="0.25">
      <c r="A434" s="1">
        <v>45436</v>
      </c>
      <c r="B434">
        <v>2024</v>
      </c>
      <c r="C434">
        <v>5</v>
      </c>
      <c r="D434">
        <v>2</v>
      </c>
      <c r="E434" t="s">
        <v>22</v>
      </c>
      <c r="F434" t="s">
        <v>23</v>
      </c>
      <c r="G434" t="s">
        <v>16</v>
      </c>
      <c r="H434" t="s">
        <v>14</v>
      </c>
      <c r="I434">
        <v>2</v>
      </c>
      <c r="J434">
        <v>134</v>
      </c>
      <c r="K434">
        <v>268</v>
      </c>
      <c r="L434" t="str">
        <f>IF(tblVendas[[#This Row],[regiao]]="", "Não informado", tblVendas[[#This Row],[regiao]])</f>
        <v>Norte</v>
      </c>
      <c r="M434" t="str">
        <f>IF(tblVendas[[#This Row],[categoria]]="", "Outros", tblVendas[[#This Row],[categoria]])</f>
        <v>Acessórios</v>
      </c>
      <c r="N434">
        <f>IF(tblVendas[[#This Row],[valor_total]]&lt;0, MEDIAN(tblVendas[valor_total]), tblVendas[[#This Row],[valor_total]])</f>
        <v>268</v>
      </c>
    </row>
    <row r="435" spans="1:14" x14ac:dyDescent="0.25">
      <c r="A435" s="1">
        <v>45411</v>
      </c>
      <c r="B435">
        <v>2024</v>
      </c>
      <c r="C435">
        <v>4</v>
      </c>
      <c r="D435">
        <v>2</v>
      </c>
      <c r="E435" t="s">
        <v>18</v>
      </c>
      <c r="F435" t="s">
        <v>19</v>
      </c>
      <c r="G435" t="s">
        <v>24</v>
      </c>
      <c r="H435" t="s">
        <v>21</v>
      </c>
      <c r="I435">
        <v>9</v>
      </c>
      <c r="J435">
        <v>78</v>
      </c>
      <c r="K435">
        <v>702</v>
      </c>
      <c r="L435" t="str">
        <f>IF(tblVendas[[#This Row],[regiao]]="", "Não informado", tblVendas[[#This Row],[regiao]])</f>
        <v>Centro-Oeste</v>
      </c>
      <c r="M435" t="str">
        <f>IF(tblVendas[[#This Row],[categoria]]="", "Outros", tblVendas[[#This Row],[categoria]])</f>
        <v>Vestuário</v>
      </c>
      <c r="N435">
        <f>IF(tblVendas[[#This Row],[valor_total]]&lt;0, MEDIAN(tblVendas[valor_total]), tblVendas[[#This Row],[valor_total]])</f>
        <v>702</v>
      </c>
    </row>
    <row r="436" spans="1:14" x14ac:dyDescent="0.25">
      <c r="A436" s="1">
        <v>45610</v>
      </c>
      <c r="B436">
        <v>2024</v>
      </c>
      <c r="C436">
        <v>11</v>
      </c>
      <c r="D436">
        <v>4</v>
      </c>
      <c r="E436" t="s">
        <v>18</v>
      </c>
      <c r="F436" t="s">
        <v>12</v>
      </c>
      <c r="G436" t="s">
        <v>16</v>
      </c>
      <c r="H436" t="s">
        <v>21</v>
      </c>
      <c r="I436">
        <v>14</v>
      </c>
      <c r="J436">
        <v>108</v>
      </c>
      <c r="K436">
        <v>1512</v>
      </c>
      <c r="L436" t="str">
        <f>IF(tblVendas[[#This Row],[regiao]]="", "Não informado", tblVendas[[#This Row],[regiao]])</f>
        <v>Centro-Oeste</v>
      </c>
      <c r="M436" t="str">
        <f>IF(tblVendas[[#This Row],[categoria]]="", "Outros", tblVendas[[#This Row],[categoria]])</f>
        <v>Calçados</v>
      </c>
      <c r="N436">
        <f>IF(tblVendas[[#This Row],[valor_total]]&lt;0, MEDIAN(tblVendas[valor_total]), tblVendas[[#This Row],[valor_total]])</f>
        <v>1512</v>
      </c>
    </row>
    <row r="437" spans="1:14" x14ac:dyDescent="0.25">
      <c r="A437" s="1">
        <v>45566</v>
      </c>
      <c r="B437">
        <v>2024</v>
      </c>
      <c r="C437">
        <v>10</v>
      </c>
      <c r="D437">
        <v>4</v>
      </c>
      <c r="E437" t="s">
        <v>31</v>
      </c>
      <c r="F437" t="s">
        <v>23</v>
      </c>
      <c r="G437" t="s">
        <v>28</v>
      </c>
      <c r="H437" t="s">
        <v>14</v>
      </c>
      <c r="I437">
        <v>9</v>
      </c>
      <c r="J437">
        <v>122</v>
      </c>
      <c r="K437">
        <v>1098</v>
      </c>
      <c r="L437" t="str">
        <f>IF(tblVendas[[#This Row],[regiao]]="", "Não informado", tblVendas[[#This Row],[regiao]])</f>
        <v>Norte</v>
      </c>
      <c r="M437" t="str">
        <f>IF(tblVendas[[#This Row],[categoria]]="", "Outros", tblVendas[[#This Row],[categoria]])</f>
        <v>Acessórios</v>
      </c>
      <c r="N437">
        <f>IF(tblVendas[[#This Row],[valor_total]]&lt;0, MEDIAN(tblVendas[valor_total]), tblVendas[[#This Row],[valor_total]])</f>
        <v>1098</v>
      </c>
    </row>
    <row r="438" spans="1:14" x14ac:dyDescent="0.25">
      <c r="A438" s="1">
        <v>45383</v>
      </c>
      <c r="B438">
        <v>2024</v>
      </c>
      <c r="C438">
        <v>4</v>
      </c>
      <c r="D438">
        <v>2</v>
      </c>
      <c r="E438" t="s">
        <v>33</v>
      </c>
      <c r="F438" t="s">
        <v>12</v>
      </c>
      <c r="G438" t="s">
        <v>28</v>
      </c>
      <c r="H438" t="s">
        <v>17</v>
      </c>
      <c r="I438">
        <v>16</v>
      </c>
      <c r="J438">
        <v>183</v>
      </c>
      <c r="K438">
        <v>2928</v>
      </c>
      <c r="L438" t="str">
        <f>IF(tblVendas[[#This Row],[regiao]]="", "Não informado", tblVendas[[#This Row],[regiao]])</f>
        <v>Leste</v>
      </c>
      <c r="M438" t="str">
        <f>IF(tblVendas[[#This Row],[categoria]]="", "Outros", tblVendas[[#This Row],[categoria]])</f>
        <v>Calçados</v>
      </c>
      <c r="N438">
        <f>IF(tblVendas[[#This Row],[valor_total]]&lt;0, MEDIAN(tblVendas[valor_total]), tblVendas[[#This Row],[valor_total]])</f>
        <v>2928</v>
      </c>
    </row>
    <row r="439" spans="1:14" x14ac:dyDescent="0.25">
      <c r="A439" s="1">
        <v>45349</v>
      </c>
      <c r="B439">
        <v>2024</v>
      </c>
      <c r="C439">
        <v>2</v>
      </c>
      <c r="D439">
        <v>1</v>
      </c>
      <c r="E439" t="s">
        <v>30</v>
      </c>
      <c r="F439" t="s">
        <v>23</v>
      </c>
      <c r="G439" t="s">
        <v>24</v>
      </c>
      <c r="H439" t="s">
        <v>14</v>
      </c>
      <c r="I439">
        <v>17</v>
      </c>
      <c r="J439">
        <v>47</v>
      </c>
      <c r="K439">
        <v>799</v>
      </c>
      <c r="L439" t="str">
        <f>IF(tblVendas[[#This Row],[regiao]]="", "Não informado", tblVendas[[#This Row],[regiao]])</f>
        <v>Norte</v>
      </c>
      <c r="M439" t="str">
        <f>IF(tblVendas[[#This Row],[categoria]]="", "Outros", tblVendas[[#This Row],[categoria]])</f>
        <v>Acessórios</v>
      </c>
      <c r="N439">
        <f>IF(tblVendas[[#This Row],[valor_total]]&lt;0, MEDIAN(tblVendas[valor_total]), tblVendas[[#This Row],[valor_total]])</f>
        <v>799</v>
      </c>
    </row>
    <row r="440" spans="1:14" x14ac:dyDescent="0.25">
      <c r="A440" s="1">
        <v>45637</v>
      </c>
      <c r="B440">
        <v>2024</v>
      </c>
      <c r="C440">
        <v>12</v>
      </c>
      <c r="D440">
        <v>4</v>
      </c>
      <c r="E440" t="s">
        <v>22</v>
      </c>
      <c r="F440" t="s">
        <v>23</v>
      </c>
      <c r="G440" t="s">
        <v>24</v>
      </c>
      <c r="H440" t="s">
        <v>21</v>
      </c>
      <c r="I440">
        <v>16</v>
      </c>
      <c r="J440">
        <v>125</v>
      </c>
      <c r="K440">
        <v>2000</v>
      </c>
      <c r="L440" t="str">
        <f>IF(tblVendas[[#This Row],[regiao]]="", "Não informado", tblVendas[[#This Row],[regiao]])</f>
        <v>Centro-Oeste</v>
      </c>
      <c r="M440" t="str">
        <f>IF(tblVendas[[#This Row],[categoria]]="", "Outros", tblVendas[[#This Row],[categoria]])</f>
        <v>Acessórios</v>
      </c>
      <c r="N440">
        <f>IF(tblVendas[[#This Row],[valor_total]]&lt;0, MEDIAN(tblVendas[valor_total]), tblVendas[[#This Row],[valor_total]])</f>
        <v>2000</v>
      </c>
    </row>
    <row r="441" spans="1:14" x14ac:dyDescent="0.25">
      <c r="A441" s="1">
        <v>45520</v>
      </c>
      <c r="B441">
        <v>2024</v>
      </c>
      <c r="C441">
        <v>8</v>
      </c>
      <c r="D441">
        <v>3</v>
      </c>
      <c r="E441" t="s">
        <v>27</v>
      </c>
      <c r="F441" t="s">
        <v>12</v>
      </c>
      <c r="G441" t="s">
        <v>24</v>
      </c>
      <c r="H441" t="s">
        <v>17</v>
      </c>
      <c r="I441">
        <v>12</v>
      </c>
      <c r="J441">
        <v>67</v>
      </c>
      <c r="K441">
        <v>804</v>
      </c>
      <c r="L441" t="str">
        <f>IF(tblVendas[[#This Row],[regiao]]="", "Não informado", tblVendas[[#This Row],[regiao]])</f>
        <v>Leste</v>
      </c>
      <c r="M441" t="str">
        <f>IF(tblVendas[[#This Row],[categoria]]="", "Outros", tblVendas[[#This Row],[categoria]])</f>
        <v>Calçados</v>
      </c>
      <c r="N441">
        <f>IF(tblVendas[[#This Row],[valor_total]]&lt;0, MEDIAN(tblVendas[valor_total]), tblVendas[[#This Row],[valor_total]])</f>
        <v>804</v>
      </c>
    </row>
    <row r="442" spans="1:14" x14ac:dyDescent="0.25">
      <c r="A442" s="1">
        <v>45408</v>
      </c>
      <c r="B442">
        <v>2024</v>
      </c>
      <c r="C442">
        <v>4</v>
      </c>
      <c r="D442">
        <v>2</v>
      </c>
      <c r="E442" t="s">
        <v>18</v>
      </c>
      <c r="F442" t="s">
        <v>23</v>
      </c>
      <c r="G442" t="s">
        <v>13</v>
      </c>
      <c r="H442" t="s">
        <v>17</v>
      </c>
      <c r="I442">
        <v>3</v>
      </c>
      <c r="J442">
        <v>116</v>
      </c>
      <c r="K442">
        <v>348</v>
      </c>
      <c r="L442" t="str">
        <f>IF(tblVendas[[#This Row],[regiao]]="", "Não informado", tblVendas[[#This Row],[regiao]])</f>
        <v>Leste</v>
      </c>
      <c r="M442" t="str">
        <f>IF(tblVendas[[#This Row],[categoria]]="", "Outros", tblVendas[[#This Row],[categoria]])</f>
        <v>Acessórios</v>
      </c>
      <c r="N442">
        <f>IF(tblVendas[[#This Row],[valor_total]]&lt;0, MEDIAN(tblVendas[valor_total]), tblVendas[[#This Row],[valor_total]])</f>
        <v>348</v>
      </c>
    </row>
    <row r="443" spans="1:14" x14ac:dyDescent="0.25">
      <c r="A443" s="1">
        <v>45609</v>
      </c>
      <c r="B443">
        <v>2024</v>
      </c>
      <c r="C443">
        <v>11</v>
      </c>
      <c r="D443">
        <v>4</v>
      </c>
      <c r="E443" t="s">
        <v>33</v>
      </c>
      <c r="F443" t="s">
        <v>12</v>
      </c>
      <c r="G443" t="s">
        <v>16</v>
      </c>
      <c r="H443" t="s">
        <v>14</v>
      </c>
      <c r="I443">
        <v>11</v>
      </c>
      <c r="J443">
        <v>117</v>
      </c>
      <c r="K443">
        <v>1287</v>
      </c>
      <c r="L443" t="str">
        <f>IF(tblVendas[[#This Row],[regiao]]="", "Não informado", tblVendas[[#This Row],[regiao]])</f>
        <v>Norte</v>
      </c>
      <c r="M443" t="str">
        <f>IF(tblVendas[[#This Row],[categoria]]="", "Outros", tblVendas[[#This Row],[categoria]])</f>
        <v>Calçados</v>
      </c>
      <c r="N443">
        <f>IF(tblVendas[[#This Row],[valor_total]]&lt;0, MEDIAN(tblVendas[valor_total]), tblVendas[[#This Row],[valor_total]])</f>
        <v>1287</v>
      </c>
    </row>
    <row r="444" spans="1:14" x14ac:dyDescent="0.25">
      <c r="A444" s="1">
        <v>45570</v>
      </c>
      <c r="B444">
        <v>2024</v>
      </c>
      <c r="C444">
        <v>10</v>
      </c>
      <c r="D444">
        <v>4</v>
      </c>
      <c r="E444" t="s">
        <v>15</v>
      </c>
      <c r="F444" t="s">
        <v>23</v>
      </c>
      <c r="G444" t="s">
        <v>24</v>
      </c>
      <c r="H444" t="s">
        <v>21</v>
      </c>
      <c r="I444">
        <v>14</v>
      </c>
      <c r="J444">
        <v>79</v>
      </c>
      <c r="K444">
        <v>1106</v>
      </c>
      <c r="L444" t="str">
        <f>IF(tblVendas[[#This Row],[regiao]]="", "Não informado", tblVendas[[#This Row],[regiao]])</f>
        <v>Centro-Oeste</v>
      </c>
      <c r="M444" t="str">
        <f>IF(tblVendas[[#This Row],[categoria]]="", "Outros", tblVendas[[#This Row],[categoria]])</f>
        <v>Acessórios</v>
      </c>
      <c r="N444">
        <f>IF(tblVendas[[#This Row],[valor_total]]&lt;0, MEDIAN(tblVendas[valor_total]), tblVendas[[#This Row],[valor_total]])</f>
        <v>1106</v>
      </c>
    </row>
    <row r="445" spans="1:14" x14ac:dyDescent="0.25">
      <c r="A445" s="1">
        <v>45418</v>
      </c>
      <c r="B445">
        <v>2024</v>
      </c>
      <c r="C445">
        <v>5</v>
      </c>
      <c r="D445">
        <v>2</v>
      </c>
      <c r="E445" t="s">
        <v>25</v>
      </c>
      <c r="F445" t="s">
        <v>19</v>
      </c>
      <c r="G445" t="s">
        <v>20</v>
      </c>
      <c r="H445" t="s">
        <v>29</v>
      </c>
      <c r="I445">
        <v>18</v>
      </c>
      <c r="J445">
        <v>37</v>
      </c>
      <c r="K445">
        <v>666</v>
      </c>
      <c r="L445" t="str">
        <f>IF(tblVendas[[#This Row],[regiao]]="", "Não informado", tblVendas[[#This Row],[regiao]])</f>
        <v>Oeste</v>
      </c>
      <c r="M445" t="str">
        <f>IF(tblVendas[[#This Row],[categoria]]="", "Outros", tblVendas[[#This Row],[categoria]])</f>
        <v>Vestuário</v>
      </c>
      <c r="N445">
        <f>IF(tblVendas[[#This Row],[valor_total]]&lt;0, MEDIAN(tblVendas[valor_total]), tblVendas[[#This Row],[valor_total]])</f>
        <v>666</v>
      </c>
    </row>
    <row r="446" spans="1:14" x14ac:dyDescent="0.25">
      <c r="A446" s="1">
        <v>45420</v>
      </c>
      <c r="B446">
        <v>2024</v>
      </c>
      <c r="C446">
        <v>5</v>
      </c>
      <c r="D446">
        <v>2</v>
      </c>
      <c r="E446" t="s">
        <v>31</v>
      </c>
      <c r="F446" t="s">
        <v>12</v>
      </c>
      <c r="G446" t="s">
        <v>20</v>
      </c>
      <c r="H446" t="s">
        <v>21</v>
      </c>
      <c r="I446">
        <v>5</v>
      </c>
      <c r="J446">
        <v>198</v>
      </c>
      <c r="K446">
        <v>990</v>
      </c>
      <c r="L446" t="str">
        <f>IF(tblVendas[[#This Row],[regiao]]="", "Não informado", tblVendas[[#This Row],[regiao]])</f>
        <v>Centro-Oeste</v>
      </c>
      <c r="M446" t="str">
        <f>IF(tblVendas[[#This Row],[categoria]]="", "Outros", tblVendas[[#This Row],[categoria]])</f>
        <v>Calçados</v>
      </c>
      <c r="N446">
        <f>IF(tblVendas[[#This Row],[valor_total]]&lt;0, MEDIAN(tblVendas[valor_total]), tblVendas[[#This Row],[valor_total]])</f>
        <v>990</v>
      </c>
    </row>
    <row r="447" spans="1:14" x14ac:dyDescent="0.25">
      <c r="A447" s="1">
        <v>45349</v>
      </c>
      <c r="B447">
        <v>2024</v>
      </c>
      <c r="C447">
        <v>2</v>
      </c>
      <c r="D447">
        <v>1</v>
      </c>
      <c r="E447" t="s">
        <v>30</v>
      </c>
      <c r="F447" t="s">
        <v>23</v>
      </c>
      <c r="G447" t="s">
        <v>28</v>
      </c>
      <c r="H447" t="s">
        <v>26</v>
      </c>
      <c r="I447">
        <v>16</v>
      </c>
      <c r="J447">
        <v>163</v>
      </c>
      <c r="K447">
        <v>2608</v>
      </c>
      <c r="L447" t="str">
        <f>IF(tblVendas[[#This Row],[regiao]]="", "Não informado", tblVendas[[#This Row],[regiao]])</f>
        <v>Sul</v>
      </c>
      <c r="M447" t="str">
        <f>IF(tblVendas[[#This Row],[categoria]]="", "Outros", tblVendas[[#This Row],[categoria]])</f>
        <v>Acessórios</v>
      </c>
      <c r="N447">
        <f>IF(tblVendas[[#This Row],[valor_total]]&lt;0, MEDIAN(tblVendas[valor_total]), tblVendas[[#This Row],[valor_total]])</f>
        <v>2608</v>
      </c>
    </row>
    <row r="448" spans="1:14" x14ac:dyDescent="0.25">
      <c r="A448" s="1">
        <v>45413</v>
      </c>
      <c r="B448">
        <v>2024</v>
      </c>
      <c r="C448">
        <v>5</v>
      </c>
      <c r="D448">
        <v>2</v>
      </c>
      <c r="E448" t="s">
        <v>11</v>
      </c>
      <c r="F448" t="s">
        <v>23</v>
      </c>
      <c r="G448" t="s">
        <v>16</v>
      </c>
      <c r="H448" t="s">
        <v>29</v>
      </c>
      <c r="I448">
        <v>5</v>
      </c>
      <c r="J448">
        <v>98</v>
      </c>
      <c r="K448">
        <v>490</v>
      </c>
      <c r="L448" t="str">
        <f>IF(tblVendas[[#This Row],[regiao]]="", "Não informado", tblVendas[[#This Row],[regiao]])</f>
        <v>Oeste</v>
      </c>
      <c r="M448" t="str">
        <f>IF(tblVendas[[#This Row],[categoria]]="", "Outros", tblVendas[[#This Row],[categoria]])</f>
        <v>Acessórios</v>
      </c>
      <c r="N448">
        <f>IF(tblVendas[[#This Row],[valor_total]]&lt;0, MEDIAN(tblVendas[valor_total]), tblVendas[[#This Row],[valor_total]])</f>
        <v>490</v>
      </c>
    </row>
    <row r="449" spans="1:14" x14ac:dyDescent="0.25">
      <c r="A449" s="1">
        <v>45292</v>
      </c>
      <c r="B449">
        <v>2024</v>
      </c>
      <c r="C449">
        <v>1</v>
      </c>
      <c r="D449">
        <v>1</v>
      </c>
      <c r="E449" t="s">
        <v>31</v>
      </c>
      <c r="F449" t="s">
        <v>19</v>
      </c>
      <c r="G449" t="s">
        <v>24</v>
      </c>
      <c r="H449" t="s">
        <v>17</v>
      </c>
      <c r="I449">
        <v>3</v>
      </c>
      <c r="J449">
        <v>150</v>
      </c>
      <c r="K449">
        <v>450</v>
      </c>
      <c r="L449" t="str">
        <f>IF(tblVendas[[#This Row],[regiao]]="", "Não informado", tblVendas[[#This Row],[regiao]])</f>
        <v>Leste</v>
      </c>
      <c r="M449" t="str">
        <f>IF(tblVendas[[#This Row],[categoria]]="", "Outros", tblVendas[[#This Row],[categoria]])</f>
        <v>Vestuário</v>
      </c>
      <c r="N449">
        <f>IF(tblVendas[[#This Row],[valor_total]]&lt;0, MEDIAN(tblVendas[valor_total]), tblVendas[[#This Row],[valor_total]])</f>
        <v>450</v>
      </c>
    </row>
    <row r="450" spans="1:14" x14ac:dyDescent="0.25">
      <c r="A450" s="1">
        <v>45530</v>
      </c>
      <c r="B450">
        <v>2024</v>
      </c>
      <c r="C450">
        <v>8</v>
      </c>
      <c r="D450">
        <v>3</v>
      </c>
      <c r="E450" t="s">
        <v>15</v>
      </c>
      <c r="F450" t="s">
        <v>12</v>
      </c>
      <c r="G450" t="s">
        <v>20</v>
      </c>
      <c r="H450" t="s">
        <v>29</v>
      </c>
      <c r="I450">
        <v>12</v>
      </c>
      <c r="J450">
        <v>93</v>
      </c>
      <c r="K450">
        <v>1116</v>
      </c>
      <c r="L450" t="str">
        <f>IF(tblVendas[[#This Row],[regiao]]="", "Não informado", tblVendas[[#This Row],[regiao]])</f>
        <v>Oeste</v>
      </c>
      <c r="M450" t="str">
        <f>IF(tblVendas[[#This Row],[categoria]]="", "Outros", tblVendas[[#This Row],[categoria]])</f>
        <v>Calçados</v>
      </c>
      <c r="N450">
        <f>IF(tblVendas[[#This Row],[valor_total]]&lt;0, MEDIAN(tblVendas[valor_total]), tblVendas[[#This Row],[valor_total]])</f>
        <v>1116</v>
      </c>
    </row>
    <row r="451" spans="1:14" x14ac:dyDescent="0.25">
      <c r="A451" s="1">
        <v>45581</v>
      </c>
      <c r="B451">
        <v>2024</v>
      </c>
      <c r="C451">
        <v>10</v>
      </c>
      <c r="D451">
        <v>4</v>
      </c>
      <c r="E451" t="s">
        <v>25</v>
      </c>
      <c r="F451" t="s">
        <v>23</v>
      </c>
      <c r="G451" t="s">
        <v>16</v>
      </c>
      <c r="H451" t="s">
        <v>17</v>
      </c>
      <c r="I451">
        <v>1</v>
      </c>
      <c r="J451">
        <v>186</v>
      </c>
      <c r="K451">
        <v>186</v>
      </c>
      <c r="L451" t="str">
        <f>IF(tblVendas[[#This Row],[regiao]]="", "Não informado", tblVendas[[#This Row],[regiao]])</f>
        <v>Leste</v>
      </c>
      <c r="M451" t="str">
        <f>IF(tblVendas[[#This Row],[categoria]]="", "Outros", tblVendas[[#This Row],[categoria]])</f>
        <v>Acessórios</v>
      </c>
      <c r="N451">
        <f>IF(tblVendas[[#This Row],[valor_total]]&lt;0, MEDIAN(tblVendas[valor_total]), tblVendas[[#This Row],[valor_total]])</f>
        <v>186</v>
      </c>
    </row>
    <row r="452" spans="1:14" x14ac:dyDescent="0.25">
      <c r="A452" s="1">
        <v>45387</v>
      </c>
      <c r="B452">
        <v>2024</v>
      </c>
      <c r="C452">
        <v>4</v>
      </c>
      <c r="D452">
        <v>2</v>
      </c>
      <c r="E452" t="s">
        <v>15</v>
      </c>
      <c r="F452" t="s">
        <v>19</v>
      </c>
      <c r="G452" t="s">
        <v>28</v>
      </c>
      <c r="H452" t="s">
        <v>17</v>
      </c>
      <c r="I452">
        <v>9</v>
      </c>
      <c r="J452">
        <v>185</v>
      </c>
      <c r="K452">
        <v>1665</v>
      </c>
      <c r="L452" t="str">
        <f>IF(tblVendas[[#This Row],[regiao]]="", "Não informado", tblVendas[[#This Row],[regiao]])</f>
        <v>Leste</v>
      </c>
      <c r="M452" t="str">
        <f>IF(tblVendas[[#This Row],[categoria]]="", "Outros", tblVendas[[#This Row],[categoria]])</f>
        <v>Vestuário</v>
      </c>
      <c r="N452">
        <f>IF(tblVendas[[#This Row],[valor_total]]&lt;0, MEDIAN(tblVendas[valor_total]), tblVendas[[#This Row],[valor_total]])</f>
        <v>1665</v>
      </c>
    </row>
    <row r="453" spans="1:14" x14ac:dyDescent="0.25">
      <c r="A453" s="1">
        <v>45417</v>
      </c>
      <c r="B453">
        <v>2024</v>
      </c>
      <c r="C453">
        <v>5</v>
      </c>
      <c r="D453">
        <v>2</v>
      </c>
      <c r="E453" t="s">
        <v>22</v>
      </c>
      <c r="F453" t="s">
        <v>23</v>
      </c>
      <c r="G453" t="s">
        <v>13</v>
      </c>
      <c r="H453" t="s">
        <v>29</v>
      </c>
      <c r="I453">
        <v>9</v>
      </c>
      <c r="J453">
        <v>168</v>
      </c>
      <c r="K453">
        <v>1512</v>
      </c>
      <c r="L453" t="str">
        <f>IF(tblVendas[[#This Row],[regiao]]="", "Não informado", tblVendas[[#This Row],[regiao]])</f>
        <v>Oeste</v>
      </c>
      <c r="M453" t="str">
        <f>IF(tblVendas[[#This Row],[categoria]]="", "Outros", tblVendas[[#This Row],[categoria]])</f>
        <v>Acessórios</v>
      </c>
      <c r="N453">
        <f>IF(tblVendas[[#This Row],[valor_total]]&lt;0, MEDIAN(tblVendas[valor_total]), tblVendas[[#This Row],[valor_total]])</f>
        <v>1512</v>
      </c>
    </row>
    <row r="454" spans="1:14" x14ac:dyDescent="0.25">
      <c r="A454" s="1">
        <v>45409</v>
      </c>
      <c r="B454">
        <v>2024</v>
      </c>
      <c r="C454">
        <v>4</v>
      </c>
      <c r="D454">
        <v>2</v>
      </c>
      <c r="E454" t="s">
        <v>18</v>
      </c>
      <c r="F454" t="s">
        <v>12</v>
      </c>
      <c r="G454" t="s">
        <v>16</v>
      </c>
      <c r="H454" t="s">
        <v>17</v>
      </c>
      <c r="I454">
        <v>4</v>
      </c>
      <c r="J454">
        <v>150</v>
      </c>
      <c r="K454">
        <v>600</v>
      </c>
      <c r="L454" t="str">
        <f>IF(tblVendas[[#This Row],[regiao]]="", "Não informado", tblVendas[[#This Row],[regiao]])</f>
        <v>Leste</v>
      </c>
      <c r="M454" t="str">
        <f>IF(tblVendas[[#This Row],[categoria]]="", "Outros", tblVendas[[#This Row],[categoria]])</f>
        <v>Calçados</v>
      </c>
      <c r="N454">
        <f>IF(tblVendas[[#This Row],[valor_total]]&lt;0, MEDIAN(tblVendas[valor_total]), tblVendas[[#This Row],[valor_total]])</f>
        <v>600</v>
      </c>
    </row>
    <row r="455" spans="1:14" x14ac:dyDescent="0.25">
      <c r="A455" s="1">
        <v>45339</v>
      </c>
      <c r="B455">
        <v>2024</v>
      </c>
      <c r="C455">
        <v>2</v>
      </c>
      <c r="D455">
        <v>1</v>
      </c>
      <c r="E455" t="s">
        <v>30</v>
      </c>
      <c r="F455" t="s">
        <v>23</v>
      </c>
      <c r="G455" t="s">
        <v>16</v>
      </c>
      <c r="H455" t="s">
        <v>17</v>
      </c>
      <c r="I455">
        <v>3</v>
      </c>
      <c r="J455">
        <v>94</v>
      </c>
      <c r="K455">
        <v>282</v>
      </c>
      <c r="L455" t="str">
        <f>IF(tblVendas[[#This Row],[regiao]]="", "Não informado", tblVendas[[#This Row],[regiao]])</f>
        <v>Leste</v>
      </c>
      <c r="M455" t="str">
        <f>IF(tblVendas[[#This Row],[categoria]]="", "Outros", tblVendas[[#This Row],[categoria]])</f>
        <v>Acessórios</v>
      </c>
      <c r="N455">
        <f>IF(tblVendas[[#This Row],[valor_total]]&lt;0, MEDIAN(tblVendas[valor_total]), tblVendas[[#This Row],[valor_total]])</f>
        <v>282</v>
      </c>
    </row>
    <row r="456" spans="1:14" x14ac:dyDescent="0.25">
      <c r="A456" s="1">
        <v>45380</v>
      </c>
      <c r="B456">
        <v>2024</v>
      </c>
      <c r="C456">
        <v>3</v>
      </c>
      <c r="D456">
        <v>1</v>
      </c>
      <c r="E456" t="s">
        <v>32</v>
      </c>
      <c r="F456" t="s">
        <v>23</v>
      </c>
      <c r="G456" t="s">
        <v>13</v>
      </c>
      <c r="H456" t="s">
        <v>26</v>
      </c>
      <c r="I456">
        <v>17</v>
      </c>
      <c r="J456">
        <v>136</v>
      </c>
      <c r="K456">
        <v>2312</v>
      </c>
      <c r="L456" t="str">
        <f>IF(tblVendas[[#This Row],[regiao]]="", "Não informado", tblVendas[[#This Row],[regiao]])</f>
        <v>Sul</v>
      </c>
      <c r="M456" t="str">
        <f>IF(tblVendas[[#This Row],[categoria]]="", "Outros", tblVendas[[#This Row],[categoria]])</f>
        <v>Acessórios</v>
      </c>
      <c r="N456">
        <f>IF(tblVendas[[#This Row],[valor_total]]&lt;0, MEDIAN(tblVendas[valor_total]), tblVendas[[#This Row],[valor_total]])</f>
        <v>2312</v>
      </c>
    </row>
    <row r="457" spans="1:14" x14ac:dyDescent="0.25">
      <c r="A457" s="1">
        <v>45528</v>
      </c>
      <c r="B457">
        <v>2024</v>
      </c>
      <c r="C457">
        <v>8</v>
      </c>
      <c r="D457">
        <v>3</v>
      </c>
      <c r="E457" t="s">
        <v>18</v>
      </c>
      <c r="F457" t="s">
        <v>23</v>
      </c>
      <c r="G457" t="s">
        <v>16</v>
      </c>
      <c r="H457" t="s">
        <v>21</v>
      </c>
      <c r="I457">
        <v>2</v>
      </c>
      <c r="J457">
        <v>176</v>
      </c>
      <c r="K457">
        <v>352</v>
      </c>
      <c r="L457" t="str">
        <f>IF(tblVendas[[#This Row],[regiao]]="", "Não informado", tblVendas[[#This Row],[regiao]])</f>
        <v>Centro-Oeste</v>
      </c>
      <c r="M457" t="str">
        <f>IF(tblVendas[[#This Row],[categoria]]="", "Outros", tblVendas[[#This Row],[categoria]])</f>
        <v>Acessórios</v>
      </c>
      <c r="N457">
        <f>IF(tblVendas[[#This Row],[valor_total]]&lt;0, MEDIAN(tblVendas[valor_total]), tblVendas[[#This Row],[valor_total]])</f>
        <v>352</v>
      </c>
    </row>
    <row r="458" spans="1:14" x14ac:dyDescent="0.25">
      <c r="A458" s="1">
        <v>45563</v>
      </c>
      <c r="B458">
        <v>2024</v>
      </c>
      <c r="C458">
        <v>9</v>
      </c>
      <c r="D458">
        <v>3</v>
      </c>
      <c r="E458" t="s">
        <v>32</v>
      </c>
      <c r="F458" t="s">
        <v>23</v>
      </c>
      <c r="G458" t="s">
        <v>28</v>
      </c>
      <c r="H458" t="s">
        <v>21</v>
      </c>
      <c r="I458">
        <v>1</v>
      </c>
      <c r="J458">
        <v>166</v>
      </c>
      <c r="K458">
        <v>166</v>
      </c>
      <c r="L458" t="str">
        <f>IF(tblVendas[[#This Row],[regiao]]="", "Não informado", tblVendas[[#This Row],[regiao]])</f>
        <v>Centro-Oeste</v>
      </c>
      <c r="M458" t="str">
        <f>IF(tblVendas[[#This Row],[categoria]]="", "Outros", tblVendas[[#This Row],[categoria]])</f>
        <v>Acessórios</v>
      </c>
      <c r="N458">
        <f>IF(tblVendas[[#This Row],[valor_total]]&lt;0, MEDIAN(tblVendas[valor_total]), tblVendas[[#This Row],[valor_total]])</f>
        <v>166</v>
      </c>
    </row>
    <row r="459" spans="1:14" x14ac:dyDescent="0.25">
      <c r="A459" s="1">
        <v>45480</v>
      </c>
      <c r="B459">
        <v>2024</v>
      </c>
      <c r="C459">
        <v>7</v>
      </c>
      <c r="D459">
        <v>3</v>
      </c>
      <c r="E459" t="s">
        <v>25</v>
      </c>
      <c r="F459" t="s">
        <v>19</v>
      </c>
      <c r="G459" t="s">
        <v>28</v>
      </c>
      <c r="H459" t="s">
        <v>26</v>
      </c>
      <c r="I459">
        <v>8</v>
      </c>
      <c r="J459">
        <v>184</v>
      </c>
      <c r="K459">
        <v>1472</v>
      </c>
      <c r="L459" t="str">
        <f>IF(tblVendas[[#This Row],[regiao]]="", "Não informado", tblVendas[[#This Row],[regiao]])</f>
        <v>Sul</v>
      </c>
      <c r="M459" t="str">
        <f>IF(tblVendas[[#This Row],[categoria]]="", "Outros", tblVendas[[#This Row],[categoria]])</f>
        <v>Vestuário</v>
      </c>
      <c r="N459">
        <f>IF(tblVendas[[#This Row],[valor_total]]&lt;0, MEDIAN(tblVendas[valor_total]), tblVendas[[#This Row],[valor_total]])</f>
        <v>1472</v>
      </c>
    </row>
    <row r="460" spans="1:14" x14ac:dyDescent="0.25">
      <c r="A460" s="1">
        <v>45483</v>
      </c>
      <c r="B460">
        <v>2024</v>
      </c>
      <c r="C460">
        <v>7</v>
      </c>
      <c r="D460">
        <v>3</v>
      </c>
      <c r="E460" t="s">
        <v>33</v>
      </c>
      <c r="F460" t="s">
        <v>19</v>
      </c>
      <c r="G460" t="s">
        <v>13</v>
      </c>
      <c r="H460" t="s">
        <v>29</v>
      </c>
      <c r="I460">
        <v>13</v>
      </c>
      <c r="J460">
        <v>191</v>
      </c>
      <c r="K460">
        <v>2483</v>
      </c>
      <c r="L460" t="str">
        <f>IF(tblVendas[[#This Row],[regiao]]="", "Não informado", tblVendas[[#This Row],[regiao]])</f>
        <v>Oeste</v>
      </c>
      <c r="M460" t="str">
        <f>IF(tblVendas[[#This Row],[categoria]]="", "Outros", tblVendas[[#This Row],[categoria]])</f>
        <v>Vestuário</v>
      </c>
      <c r="N460">
        <f>IF(tblVendas[[#This Row],[valor_total]]&lt;0, MEDIAN(tblVendas[valor_total]), tblVendas[[#This Row],[valor_total]])</f>
        <v>2483</v>
      </c>
    </row>
    <row r="461" spans="1:14" x14ac:dyDescent="0.25">
      <c r="A461" s="1">
        <v>45360</v>
      </c>
      <c r="B461">
        <v>2024</v>
      </c>
      <c r="C461">
        <v>3</v>
      </c>
      <c r="D461">
        <v>1</v>
      </c>
      <c r="E461" t="s">
        <v>11</v>
      </c>
      <c r="F461" t="s">
        <v>12</v>
      </c>
      <c r="G461" t="s">
        <v>24</v>
      </c>
      <c r="H461" t="s">
        <v>14</v>
      </c>
      <c r="I461">
        <v>15</v>
      </c>
      <c r="J461">
        <v>129</v>
      </c>
      <c r="K461">
        <v>1935</v>
      </c>
      <c r="L461" t="str">
        <f>IF(tblVendas[[#This Row],[regiao]]="", "Não informado", tblVendas[[#This Row],[regiao]])</f>
        <v>Norte</v>
      </c>
      <c r="M461" t="str">
        <f>IF(tblVendas[[#This Row],[categoria]]="", "Outros", tblVendas[[#This Row],[categoria]])</f>
        <v>Calçados</v>
      </c>
      <c r="N461">
        <f>IF(tblVendas[[#This Row],[valor_total]]&lt;0, MEDIAN(tblVendas[valor_total]), tblVendas[[#This Row],[valor_total]])</f>
        <v>1935</v>
      </c>
    </row>
    <row r="462" spans="1:14" x14ac:dyDescent="0.25">
      <c r="A462" s="1">
        <v>45569</v>
      </c>
      <c r="B462">
        <v>2024</v>
      </c>
      <c r="C462">
        <v>10</v>
      </c>
      <c r="D462">
        <v>4</v>
      </c>
      <c r="E462" t="s">
        <v>27</v>
      </c>
      <c r="F462" t="s">
        <v>19</v>
      </c>
      <c r="G462" t="s">
        <v>20</v>
      </c>
      <c r="H462" t="s">
        <v>14</v>
      </c>
      <c r="I462">
        <v>8</v>
      </c>
      <c r="J462">
        <v>111</v>
      </c>
      <c r="K462">
        <v>888</v>
      </c>
      <c r="L462" t="str">
        <f>IF(tblVendas[[#This Row],[regiao]]="", "Não informado", tblVendas[[#This Row],[regiao]])</f>
        <v>Norte</v>
      </c>
      <c r="M462" t="str">
        <f>IF(tblVendas[[#This Row],[categoria]]="", "Outros", tblVendas[[#This Row],[categoria]])</f>
        <v>Vestuário</v>
      </c>
      <c r="N462">
        <f>IF(tblVendas[[#This Row],[valor_total]]&lt;0, MEDIAN(tblVendas[valor_total]), tblVendas[[#This Row],[valor_total]])</f>
        <v>888</v>
      </c>
    </row>
    <row r="463" spans="1:14" x14ac:dyDescent="0.25">
      <c r="A463" s="1">
        <v>45640</v>
      </c>
      <c r="B463">
        <v>2024</v>
      </c>
      <c r="C463">
        <v>12</v>
      </c>
      <c r="D463">
        <v>4</v>
      </c>
      <c r="E463" t="s">
        <v>18</v>
      </c>
      <c r="F463" t="s">
        <v>19</v>
      </c>
      <c r="G463" t="s">
        <v>24</v>
      </c>
      <c r="H463" t="s">
        <v>14</v>
      </c>
      <c r="I463">
        <v>12</v>
      </c>
      <c r="J463">
        <v>172</v>
      </c>
      <c r="K463">
        <v>2064</v>
      </c>
      <c r="L463" t="str">
        <f>IF(tblVendas[[#This Row],[regiao]]="", "Não informado", tblVendas[[#This Row],[regiao]])</f>
        <v>Norte</v>
      </c>
      <c r="M463" t="str">
        <f>IF(tblVendas[[#This Row],[categoria]]="", "Outros", tblVendas[[#This Row],[categoria]])</f>
        <v>Vestuário</v>
      </c>
      <c r="N463">
        <f>IF(tblVendas[[#This Row],[valor_total]]&lt;0, MEDIAN(tblVendas[valor_total]), tblVendas[[#This Row],[valor_total]])</f>
        <v>2064</v>
      </c>
    </row>
    <row r="464" spans="1:14" x14ac:dyDescent="0.25">
      <c r="A464" s="1">
        <v>45538</v>
      </c>
      <c r="B464">
        <v>2024</v>
      </c>
      <c r="C464">
        <v>9</v>
      </c>
      <c r="D464">
        <v>3</v>
      </c>
      <c r="E464" t="s">
        <v>30</v>
      </c>
      <c r="F464" t="s">
        <v>12</v>
      </c>
      <c r="G464" t="s">
        <v>16</v>
      </c>
      <c r="H464" t="s">
        <v>26</v>
      </c>
      <c r="I464">
        <v>12</v>
      </c>
      <c r="J464">
        <v>80</v>
      </c>
      <c r="K464">
        <v>960</v>
      </c>
      <c r="L464" t="str">
        <f>IF(tblVendas[[#This Row],[regiao]]="", "Não informado", tblVendas[[#This Row],[regiao]])</f>
        <v>Sul</v>
      </c>
      <c r="M464" t="str">
        <f>IF(tblVendas[[#This Row],[categoria]]="", "Outros", tblVendas[[#This Row],[categoria]])</f>
        <v>Calçados</v>
      </c>
      <c r="N464">
        <f>IF(tblVendas[[#This Row],[valor_total]]&lt;0, MEDIAN(tblVendas[valor_total]), tblVendas[[#This Row],[valor_total]])</f>
        <v>960</v>
      </c>
    </row>
    <row r="465" spans="1:14" x14ac:dyDescent="0.25">
      <c r="A465" s="1">
        <v>45367</v>
      </c>
      <c r="B465">
        <v>2024</v>
      </c>
      <c r="C465">
        <v>3</v>
      </c>
      <c r="D465">
        <v>1</v>
      </c>
      <c r="E465" t="s">
        <v>15</v>
      </c>
      <c r="F465" t="s">
        <v>19</v>
      </c>
      <c r="G465" t="s">
        <v>20</v>
      </c>
      <c r="H465" t="s">
        <v>26</v>
      </c>
      <c r="I465">
        <v>14</v>
      </c>
      <c r="J465">
        <v>170</v>
      </c>
      <c r="K465">
        <v>2380</v>
      </c>
      <c r="L465" t="str">
        <f>IF(tblVendas[[#This Row],[regiao]]="", "Não informado", tblVendas[[#This Row],[regiao]])</f>
        <v>Sul</v>
      </c>
      <c r="M465" t="str">
        <f>IF(tblVendas[[#This Row],[categoria]]="", "Outros", tblVendas[[#This Row],[categoria]])</f>
        <v>Vestuário</v>
      </c>
      <c r="N465">
        <f>IF(tblVendas[[#This Row],[valor_total]]&lt;0, MEDIAN(tblVendas[valor_total]), tblVendas[[#This Row],[valor_total]])</f>
        <v>2380</v>
      </c>
    </row>
    <row r="466" spans="1:14" x14ac:dyDescent="0.25">
      <c r="A466" s="1">
        <v>45445</v>
      </c>
      <c r="B466">
        <v>2024</v>
      </c>
      <c r="C466">
        <v>6</v>
      </c>
      <c r="D466">
        <v>2</v>
      </c>
      <c r="E466" t="s">
        <v>30</v>
      </c>
      <c r="F466" t="s">
        <v>19</v>
      </c>
      <c r="G466" t="s">
        <v>13</v>
      </c>
      <c r="H466" t="s">
        <v>17</v>
      </c>
      <c r="I466">
        <v>15</v>
      </c>
      <c r="J466">
        <v>112</v>
      </c>
      <c r="K466">
        <v>1680</v>
      </c>
      <c r="L466" t="str">
        <f>IF(tblVendas[[#This Row],[regiao]]="", "Não informado", tblVendas[[#This Row],[regiao]])</f>
        <v>Leste</v>
      </c>
      <c r="M466" t="str">
        <f>IF(tblVendas[[#This Row],[categoria]]="", "Outros", tblVendas[[#This Row],[categoria]])</f>
        <v>Vestuário</v>
      </c>
      <c r="N466">
        <f>IF(tblVendas[[#This Row],[valor_total]]&lt;0, MEDIAN(tblVendas[valor_total]), tblVendas[[#This Row],[valor_total]])</f>
        <v>1680</v>
      </c>
    </row>
    <row r="467" spans="1:14" x14ac:dyDescent="0.25">
      <c r="A467" s="1">
        <v>45435</v>
      </c>
      <c r="B467">
        <v>2024</v>
      </c>
      <c r="C467">
        <v>5</v>
      </c>
      <c r="D467">
        <v>2</v>
      </c>
      <c r="E467" t="s">
        <v>25</v>
      </c>
      <c r="F467" t="s">
        <v>12</v>
      </c>
      <c r="G467" t="s">
        <v>13</v>
      </c>
      <c r="H467" t="s">
        <v>14</v>
      </c>
      <c r="I467">
        <v>15</v>
      </c>
      <c r="J467">
        <v>141</v>
      </c>
      <c r="K467">
        <v>2115</v>
      </c>
      <c r="L467" t="str">
        <f>IF(tblVendas[[#This Row],[regiao]]="", "Não informado", tblVendas[[#This Row],[regiao]])</f>
        <v>Norte</v>
      </c>
      <c r="M467" t="str">
        <f>IF(tblVendas[[#This Row],[categoria]]="", "Outros", tblVendas[[#This Row],[categoria]])</f>
        <v>Calçados</v>
      </c>
      <c r="N467">
        <f>IF(tblVendas[[#This Row],[valor_total]]&lt;0, MEDIAN(tblVendas[valor_total]), tblVendas[[#This Row],[valor_total]])</f>
        <v>2115</v>
      </c>
    </row>
    <row r="468" spans="1:14" x14ac:dyDescent="0.25">
      <c r="A468" s="1">
        <v>45377</v>
      </c>
      <c r="B468">
        <v>2024</v>
      </c>
      <c r="C468">
        <v>3</v>
      </c>
      <c r="D468">
        <v>1</v>
      </c>
      <c r="E468" t="s">
        <v>32</v>
      </c>
      <c r="F468" t="s">
        <v>12</v>
      </c>
      <c r="G468" t="s">
        <v>20</v>
      </c>
      <c r="H468" t="s">
        <v>29</v>
      </c>
      <c r="I468">
        <v>9</v>
      </c>
      <c r="J468">
        <v>85</v>
      </c>
      <c r="K468">
        <v>765</v>
      </c>
      <c r="L468" t="str">
        <f>IF(tblVendas[[#This Row],[regiao]]="", "Não informado", tblVendas[[#This Row],[regiao]])</f>
        <v>Oeste</v>
      </c>
      <c r="M468" t="str">
        <f>IF(tblVendas[[#This Row],[categoria]]="", "Outros", tblVendas[[#This Row],[categoria]])</f>
        <v>Calçados</v>
      </c>
      <c r="N468">
        <f>IF(tblVendas[[#This Row],[valor_total]]&lt;0, MEDIAN(tblVendas[valor_total]), tblVendas[[#This Row],[valor_total]])</f>
        <v>765</v>
      </c>
    </row>
    <row r="469" spans="1:14" x14ac:dyDescent="0.25">
      <c r="A469" s="1">
        <v>45476</v>
      </c>
      <c r="B469">
        <v>2024</v>
      </c>
      <c r="C469">
        <v>7</v>
      </c>
      <c r="D469">
        <v>3</v>
      </c>
      <c r="E469" t="s">
        <v>15</v>
      </c>
      <c r="F469" t="s">
        <v>12</v>
      </c>
      <c r="G469" t="s">
        <v>28</v>
      </c>
      <c r="H469" t="s">
        <v>29</v>
      </c>
      <c r="I469">
        <v>19</v>
      </c>
      <c r="J469">
        <v>194</v>
      </c>
      <c r="K469">
        <v>3686</v>
      </c>
      <c r="L469" t="str">
        <f>IF(tblVendas[[#This Row],[regiao]]="", "Não informado", tblVendas[[#This Row],[regiao]])</f>
        <v>Oeste</v>
      </c>
      <c r="M469" t="str">
        <f>IF(tblVendas[[#This Row],[categoria]]="", "Outros", tblVendas[[#This Row],[categoria]])</f>
        <v>Calçados</v>
      </c>
      <c r="N469">
        <f>IF(tblVendas[[#This Row],[valor_total]]&lt;0, MEDIAN(tblVendas[valor_total]), tblVendas[[#This Row],[valor_total]])</f>
        <v>3686</v>
      </c>
    </row>
    <row r="470" spans="1:14" x14ac:dyDescent="0.25">
      <c r="A470" s="1">
        <v>45576</v>
      </c>
      <c r="B470">
        <v>2024</v>
      </c>
      <c r="C470">
        <v>10</v>
      </c>
      <c r="D470">
        <v>4</v>
      </c>
      <c r="E470" t="s">
        <v>27</v>
      </c>
      <c r="F470" t="s">
        <v>23</v>
      </c>
      <c r="G470" t="s">
        <v>20</v>
      </c>
      <c r="H470" t="s">
        <v>14</v>
      </c>
      <c r="I470">
        <v>8</v>
      </c>
      <c r="J470">
        <v>174</v>
      </c>
      <c r="K470">
        <v>1392</v>
      </c>
      <c r="L470" t="str">
        <f>IF(tblVendas[[#This Row],[regiao]]="", "Não informado", tblVendas[[#This Row],[regiao]])</f>
        <v>Norte</v>
      </c>
      <c r="M470" t="str">
        <f>IF(tblVendas[[#This Row],[categoria]]="", "Outros", tblVendas[[#This Row],[categoria]])</f>
        <v>Acessórios</v>
      </c>
      <c r="N470">
        <f>IF(tblVendas[[#This Row],[valor_total]]&lt;0, MEDIAN(tblVendas[valor_total]), tblVendas[[#This Row],[valor_total]])</f>
        <v>1392</v>
      </c>
    </row>
    <row r="471" spans="1:14" x14ac:dyDescent="0.25">
      <c r="A471" s="1">
        <v>45511</v>
      </c>
      <c r="B471">
        <v>2024</v>
      </c>
      <c r="C471">
        <v>8</v>
      </c>
      <c r="D471">
        <v>3</v>
      </c>
      <c r="E471" t="s">
        <v>27</v>
      </c>
      <c r="F471" t="s">
        <v>23</v>
      </c>
      <c r="G471" t="s">
        <v>16</v>
      </c>
      <c r="H471" t="s">
        <v>14</v>
      </c>
      <c r="I471">
        <v>19</v>
      </c>
      <c r="J471">
        <v>186</v>
      </c>
      <c r="K471">
        <v>3534</v>
      </c>
      <c r="L471" t="str">
        <f>IF(tblVendas[[#This Row],[regiao]]="", "Não informado", tblVendas[[#This Row],[regiao]])</f>
        <v>Norte</v>
      </c>
      <c r="M471" t="str">
        <f>IF(tblVendas[[#This Row],[categoria]]="", "Outros", tblVendas[[#This Row],[categoria]])</f>
        <v>Acessórios</v>
      </c>
      <c r="N471">
        <f>IF(tblVendas[[#This Row],[valor_total]]&lt;0, MEDIAN(tblVendas[valor_total]), tblVendas[[#This Row],[valor_total]])</f>
        <v>3534</v>
      </c>
    </row>
    <row r="472" spans="1:14" x14ac:dyDescent="0.25">
      <c r="A472" s="1">
        <v>45360</v>
      </c>
      <c r="B472">
        <v>2024</v>
      </c>
      <c r="C472">
        <v>3</v>
      </c>
      <c r="D472">
        <v>1</v>
      </c>
      <c r="E472" t="s">
        <v>18</v>
      </c>
      <c r="F472" t="s">
        <v>12</v>
      </c>
      <c r="G472" t="s">
        <v>28</v>
      </c>
      <c r="H472" t="s">
        <v>14</v>
      </c>
      <c r="I472">
        <v>6</v>
      </c>
      <c r="J472">
        <v>190</v>
      </c>
      <c r="K472">
        <v>1140</v>
      </c>
      <c r="L472" t="str">
        <f>IF(tblVendas[[#This Row],[regiao]]="", "Não informado", tblVendas[[#This Row],[regiao]])</f>
        <v>Norte</v>
      </c>
      <c r="M472" t="str">
        <f>IF(tblVendas[[#This Row],[categoria]]="", "Outros", tblVendas[[#This Row],[categoria]])</f>
        <v>Calçados</v>
      </c>
      <c r="N472">
        <f>IF(tblVendas[[#This Row],[valor_total]]&lt;0, MEDIAN(tblVendas[valor_total]), tblVendas[[#This Row],[valor_total]])</f>
        <v>1140</v>
      </c>
    </row>
    <row r="473" spans="1:14" x14ac:dyDescent="0.25">
      <c r="A473" s="1">
        <v>45338</v>
      </c>
      <c r="B473">
        <v>2024</v>
      </c>
      <c r="C473">
        <v>2</v>
      </c>
      <c r="D473">
        <v>1</v>
      </c>
      <c r="E473" t="s">
        <v>25</v>
      </c>
      <c r="F473" t="s">
        <v>12</v>
      </c>
      <c r="G473" t="s">
        <v>13</v>
      </c>
      <c r="H473" t="s">
        <v>26</v>
      </c>
      <c r="I473">
        <v>19</v>
      </c>
      <c r="J473">
        <v>89</v>
      </c>
      <c r="K473">
        <v>1691</v>
      </c>
      <c r="L473" t="str">
        <f>IF(tblVendas[[#This Row],[regiao]]="", "Não informado", tblVendas[[#This Row],[regiao]])</f>
        <v>Sul</v>
      </c>
      <c r="M473" t="str">
        <f>IF(tblVendas[[#This Row],[categoria]]="", "Outros", tblVendas[[#This Row],[categoria]])</f>
        <v>Calçados</v>
      </c>
      <c r="N473">
        <f>IF(tblVendas[[#This Row],[valor_total]]&lt;0, MEDIAN(tblVendas[valor_total]), tblVendas[[#This Row],[valor_total]])</f>
        <v>1691</v>
      </c>
    </row>
    <row r="474" spans="1:14" x14ac:dyDescent="0.25">
      <c r="A474" s="1">
        <v>45385</v>
      </c>
      <c r="B474">
        <v>2024</v>
      </c>
      <c r="C474">
        <v>4</v>
      </c>
      <c r="D474">
        <v>2</v>
      </c>
      <c r="E474" t="s">
        <v>33</v>
      </c>
      <c r="F474" t="s">
        <v>12</v>
      </c>
      <c r="G474" t="s">
        <v>20</v>
      </c>
      <c r="H474" t="s">
        <v>26</v>
      </c>
      <c r="I474">
        <v>4</v>
      </c>
      <c r="J474">
        <v>149</v>
      </c>
      <c r="K474">
        <v>596</v>
      </c>
      <c r="L474" t="str">
        <f>IF(tblVendas[[#This Row],[regiao]]="", "Não informado", tblVendas[[#This Row],[regiao]])</f>
        <v>Sul</v>
      </c>
      <c r="M474" t="str">
        <f>IF(tblVendas[[#This Row],[categoria]]="", "Outros", tblVendas[[#This Row],[categoria]])</f>
        <v>Calçados</v>
      </c>
      <c r="N474">
        <f>IF(tblVendas[[#This Row],[valor_total]]&lt;0, MEDIAN(tblVendas[valor_total]), tblVendas[[#This Row],[valor_total]])</f>
        <v>596</v>
      </c>
    </row>
    <row r="475" spans="1:14" x14ac:dyDescent="0.25">
      <c r="A475" s="1">
        <v>45529</v>
      </c>
      <c r="B475">
        <v>2024</v>
      </c>
      <c r="C475">
        <v>8</v>
      </c>
      <c r="D475">
        <v>3</v>
      </c>
      <c r="E475" t="s">
        <v>25</v>
      </c>
      <c r="F475" t="s">
        <v>23</v>
      </c>
      <c r="G475" t="s">
        <v>24</v>
      </c>
      <c r="H475" t="s">
        <v>26</v>
      </c>
      <c r="I475">
        <v>7</v>
      </c>
      <c r="J475">
        <v>167</v>
      </c>
      <c r="K475">
        <v>1169</v>
      </c>
      <c r="L475" t="str">
        <f>IF(tblVendas[[#This Row],[regiao]]="", "Não informado", tblVendas[[#This Row],[regiao]])</f>
        <v>Sul</v>
      </c>
      <c r="M475" t="str">
        <f>IF(tblVendas[[#This Row],[categoria]]="", "Outros", tblVendas[[#This Row],[categoria]])</f>
        <v>Acessórios</v>
      </c>
      <c r="N475">
        <f>IF(tblVendas[[#This Row],[valor_total]]&lt;0, MEDIAN(tblVendas[valor_total]), tblVendas[[#This Row],[valor_total]])</f>
        <v>1169</v>
      </c>
    </row>
    <row r="476" spans="1:14" x14ac:dyDescent="0.25">
      <c r="A476" s="1">
        <v>45495</v>
      </c>
      <c r="B476">
        <v>2024</v>
      </c>
      <c r="C476">
        <v>7</v>
      </c>
      <c r="D476">
        <v>3</v>
      </c>
      <c r="E476" t="s">
        <v>32</v>
      </c>
      <c r="F476" t="s">
        <v>23</v>
      </c>
      <c r="G476" t="s">
        <v>24</v>
      </c>
      <c r="H476" t="s">
        <v>21</v>
      </c>
      <c r="I476">
        <v>4</v>
      </c>
      <c r="J476">
        <v>52</v>
      </c>
      <c r="K476">
        <v>208</v>
      </c>
      <c r="L476" t="str">
        <f>IF(tblVendas[[#This Row],[regiao]]="", "Não informado", tblVendas[[#This Row],[regiao]])</f>
        <v>Centro-Oeste</v>
      </c>
      <c r="M476" t="str">
        <f>IF(tblVendas[[#This Row],[categoria]]="", "Outros", tblVendas[[#This Row],[categoria]])</f>
        <v>Acessórios</v>
      </c>
      <c r="N476">
        <f>IF(tblVendas[[#This Row],[valor_total]]&lt;0, MEDIAN(tblVendas[valor_total]), tblVendas[[#This Row],[valor_total]])</f>
        <v>208</v>
      </c>
    </row>
    <row r="477" spans="1:14" x14ac:dyDescent="0.25">
      <c r="A477" s="1">
        <v>45509</v>
      </c>
      <c r="B477">
        <v>2024</v>
      </c>
      <c r="C477">
        <v>8</v>
      </c>
      <c r="D477">
        <v>3</v>
      </c>
      <c r="E477" t="s">
        <v>30</v>
      </c>
      <c r="F477" t="s">
        <v>19</v>
      </c>
      <c r="G477" t="s">
        <v>16</v>
      </c>
      <c r="H477" t="s">
        <v>29</v>
      </c>
      <c r="I477">
        <v>12</v>
      </c>
      <c r="J477">
        <v>178</v>
      </c>
      <c r="K477">
        <v>2136</v>
      </c>
      <c r="L477" t="str">
        <f>IF(tblVendas[[#This Row],[regiao]]="", "Não informado", tblVendas[[#This Row],[regiao]])</f>
        <v>Oeste</v>
      </c>
      <c r="M477" t="str">
        <f>IF(tblVendas[[#This Row],[categoria]]="", "Outros", tblVendas[[#This Row],[categoria]])</f>
        <v>Vestuário</v>
      </c>
      <c r="N477">
        <f>IF(tblVendas[[#This Row],[valor_total]]&lt;0, MEDIAN(tblVendas[valor_total]), tblVendas[[#This Row],[valor_total]])</f>
        <v>2136</v>
      </c>
    </row>
    <row r="478" spans="1:14" x14ac:dyDescent="0.25">
      <c r="A478" s="1">
        <v>45632</v>
      </c>
      <c r="B478">
        <v>2024</v>
      </c>
      <c r="C478">
        <v>12</v>
      </c>
      <c r="D478">
        <v>4</v>
      </c>
      <c r="E478" t="s">
        <v>27</v>
      </c>
      <c r="F478" t="s">
        <v>19</v>
      </c>
      <c r="G478" t="s">
        <v>24</v>
      </c>
      <c r="H478" t="s">
        <v>29</v>
      </c>
      <c r="I478">
        <v>13</v>
      </c>
      <c r="J478">
        <v>42</v>
      </c>
      <c r="K478">
        <v>546</v>
      </c>
      <c r="L478" t="str">
        <f>IF(tblVendas[[#This Row],[regiao]]="", "Não informado", tblVendas[[#This Row],[regiao]])</f>
        <v>Oeste</v>
      </c>
      <c r="M478" t="str">
        <f>IF(tblVendas[[#This Row],[categoria]]="", "Outros", tblVendas[[#This Row],[categoria]])</f>
        <v>Vestuário</v>
      </c>
      <c r="N478">
        <f>IF(tblVendas[[#This Row],[valor_total]]&lt;0, MEDIAN(tblVendas[valor_total]), tblVendas[[#This Row],[valor_total]])</f>
        <v>546</v>
      </c>
    </row>
    <row r="479" spans="1:14" x14ac:dyDescent="0.25">
      <c r="A479" s="1">
        <v>45330</v>
      </c>
      <c r="B479">
        <v>2024</v>
      </c>
      <c r="C479">
        <v>2</v>
      </c>
      <c r="D479">
        <v>1</v>
      </c>
      <c r="E479" t="s">
        <v>30</v>
      </c>
      <c r="F479" t="s">
        <v>12</v>
      </c>
      <c r="G479" t="s">
        <v>20</v>
      </c>
      <c r="H479" t="s">
        <v>17</v>
      </c>
      <c r="I479">
        <v>3</v>
      </c>
      <c r="J479">
        <v>130</v>
      </c>
      <c r="K479">
        <v>390</v>
      </c>
      <c r="L479" t="str">
        <f>IF(tblVendas[[#This Row],[regiao]]="", "Não informado", tblVendas[[#This Row],[regiao]])</f>
        <v>Leste</v>
      </c>
      <c r="M479" t="str">
        <f>IF(tblVendas[[#This Row],[categoria]]="", "Outros", tblVendas[[#This Row],[categoria]])</f>
        <v>Calçados</v>
      </c>
      <c r="N479">
        <f>IF(tblVendas[[#This Row],[valor_total]]&lt;0, MEDIAN(tblVendas[valor_total]), tblVendas[[#This Row],[valor_total]])</f>
        <v>390</v>
      </c>
    </row>
    <row r="480" spans="1:14" x14ac:dyDescent="0.25">
      <c r="A480" s="1">
        <v>45391</v>
      </c>
      <c r="B480">
        <v>2024</v>
      </c>
      <c r="C480">
        <v>4</v>
      </c>
      <c r="D480">
        <v>2</v>
      </c>
      <c r="E480" t="s">
        <v>30</v>
      </c>
      <c r="F480" t="s">
        <v>23</v>
      </c>
      <c r="G480" t="s">
        <v>20</v>
      </c>
      <c r="H480" t="s">
        <v>26</v>
      </c>
      <c r="I480">
        <v>12</v>
      </c>
      <c r="J480">
        <v>190</v>
      </c>
      <c r="K480">
        <v>2280</v>
      </c>
      <c r="L480" t="str">
        <f>IF(tblVendas[[#This Row],[regiao]]="", "Não informado", tblVendas[[#This Row],[regiao]])</f>
        <v>Sul</v>
      </c>
      <c r="M480" t="str">
        <f>IF(tblVendas[[#This Row],[categoria]]="", "Outros", tblVendas[[#This Row],[categoria]])</f>
        <v>Acessórios</v>
      </c>
      <c r="N480">
        <f>IF(tblVendas[[#This Row],[valor_total]]&lt;0, MEDIAN(tblVendas[valor_total]), tblVendas[[#This Row],[valor_total]])</f>
        <v>2280</v>
      </c>
    </row>
    <row r="481" spans="1:14" x14ac:dyDescent="0.25">
      <c r="A481" s="1">
        <v>45580</v>
      </c>
      <c r="B481">
        <v>2024</v>
      </c>
      <c r="C481">
        <v>10</v>
      </c>
      <c r="D481">
        <v>4</v>
      </c>
      <c r="E481" t="s">
        <v>30</v>
      </c>
      <c r="F481" t="s">
        <v>23</v>
      </c>
      <c r="G481" t="s">
        <v>24</v>
      </c>
      <c r="H481" t="s">
        <v>21</v>
      </c>
      <c r="I481">
        <v>2</v>
      </c>
      <c r="J481">
        <v>53</v>
      </c>
      <c r="K481">
        <v>106</v>
      </c>
      <c r="L481" t="str">
        <f>IF(tblVendas[[#This Row],[regiao]]="", "Não informado", tblVendas[[#This Row],[regiao]])</f>
        <v>Centro-Oeste</v>
      </c>
      <c r="M481" t="str">
        <f>IF(tblVendas[[#This Row],[categoria]]="", "Outros", tblVendas[[#This Row],[categoria]])</f>
        <v>Acessórios</v>
      </c>
      <c r="N481">
        <f>IF(tblVendas[[#This Row],[valor_total]]&lt;0, MEDIAN(tblVendas[valor_total]), tblVendas[[#This Row],[valor_total]])</f>
        <v>106</v>
      </c>
    </row>
    <row r="482" spans="1:14" x14ac:dyDescent="0.25">
      <c r="A482" s="1">
        <v>45545</v>
      </c>
      <c r="B482">
        <v>2024</v>
      </c>
      <c r="C482">
        <v>9</v>
      </c>
      <c r="D482">
        <v>3</v>
      </c>
      <c r="E482" t="s">
        <v>27</v>
      </c>
      <c r="F482" t="s">
        <v>23</v>
      </c>
      <c r="G482" t="s">
        <v>20</v>
      </c>
      <c r="H482" t="s">
        <v>21</v>
      </c>
      <c r="I482">
        <v>2</v>
      </c>
      <c r="J482">
        <v>137</v>
      </c>
      <c r="K482">
        <v>274</v>
      </c>
      <c r="L482" t="str">
        <f>IF(tblVendas[[#This Row],[regiao]]="", "Não informado", tblVendas[[#This Row],[regiao]])</f>
        <v>Centro-Oeste</v>
      </c>
      <c r="M482" t="str">
        <f>IF(tblVendas[[#This Row],[categoria]]="", "Outros", tblVendas[[#This Row],[categoria]])</f>
        <v>Acessórios</v>
      </c>
      <c r="N482">
        <f>IF(tblVendas[[#This Row],[valor_total]]&lt;0, MEDIAN(tblVendas[valor_total]), tblVendas[[#This Row],[valor_total]])</f>
        <v>274</v>
      </c>
    </row>
    <row r="483" spans="1:14" x14ac:dyDescent="0.25">
      <c r="A483" s="1">
        <v>45513</v>
      </c>
      <c r="B483">
        <v>2024</v>
      </c>
      <c r="C483">
        <v>8</v>
      </c>
      <c r="D483">
        <v>3</v>
      </c>
      <c r="E483" t="s">
        <v>31</v>
      </c>
      <c r="F483" t="s">
        <v>12</v>
      </c>
      <c r="G483" t="s">
        <v>16</v>
      </c>
      <c r="H483" t="s">
        <v>29</v>
      </c>
      <c r="I483">
        <v>9</v>
      </c>
      <c r="J483">
        <v>40</v>
      </c>
      <c r="K483">
        <v>360</v>
      </c>
      <c r="L483" t="str">
        <f>IF(tblVendas[[#This Row],[regiao]]="", "Não informado", tblVendas[[#This Row],[regiao]])</f>
        <v>Oeste</v>
      </c>
      <c r="M483" t="str">
        <f>IF(tblVendas[[#This Row],[categoria]]="", "Outros", tblVendas[[#This Row],[categoria]])</f>
        <v>Calçados</v>
      </c>
      <c r="N483">
        <f>IF(tblVendas[[#This Row],[valor_total]]&lt;0, MEDIAN(tblVendas[valor_total]), tblVendas[[#This Row],[valor_total]])</f>
        <v>360</v>
      </c>
    </row>
    <row r="484" spans="1:14" x14ac:dyDescent="0.25">
      <c r="A484" s="1">
        <v>45648</v>
      </c>
      <c r="B484">
        <v>2024</v>
      </c>
      <c r="C484">
        <v>12</v>
      </c>
      <c r="D484">
        <v>4</v>
      </c>
      <c r="E484" t="s">
        <v>22</v>
      </c>
      <c r="F484" t="s">
        <v>19</v>
      </c>
      <c r="G484" t="s">
        <v>28</v>
      </c>
      <c r="H484" t="s">
        <v>26</v>
      </c>
      <c r="I484">
        <v>1</v>
      </c>
      <c r="J484">
        <v>46</v>
      </c>
      <c r="K484">
        <v>46</v>
      </c>
      <c r="L484" t="str">
        <f>IF(tblVendas[[#This Row],[regiao]]="", "Não informado", tblVendas[[#This Row],[regiao]])</f>
        <v>Sul</v>
      </c>
      <c r="M484" t="str">
        <f>IF(tblVendas[[#This Row],[categoria]]="", "Outros", tblVendas[[#This Row],[categoria]])</f>
        <v>Vestuário</v>
      </c>
      <c r="N484">
        <f>IF(tblVendas[[#This Row],[valor_total]]&lt;0, MEDIAN(tblVendas[valor_total]), tblVendas[[#This Row],[valor_total]])</f>
        <v>46</v>
      </c>
    </row>
    <row r="485" spans="1:14" x14ac:dyDescent="0.25">
      <c r="A485" s="1">
        <v>45314</v>
      </c>
      <c r="B485">
        <v>2024</v>
      </c>
      <c r="C485">
        <v>1</v>
      </c>
      <c r="D485">
        <v>1</v>
      </c>
      <c r="E485" t="s">
        <v>32</v>
      </c>
      <c r="F485" t="s">
        <v>12</v>
      </c>
      <c r="G485" t="s">
        <v>16</v>
      </c>
      <c r="H485" t="s">
        <v>17</v>
      </c>
      <c r="I485">
        <v>8</v>
      </c>
      <c r="J485">
        <v>54</v>
      </c>
      <c r="K485">
        <v>432</v>
      </c>
      <c r="L485" t="str">
        <f>IF(tblVendas[[#This Row],[regiao]]="", "Não informado", tblVendas[[#This Row],[regiao]])</f>
        <v>Leste</v>
      </c>
      <c r="M485" t="str">
        <f>IF(tblVendas[[#This Row],[categoria]]="", "Outros", tblVendas[[#This Row],[categoria]])</f>
        <v>Calçados</v>
      </c>
      <c r="N485">
        <f>IF(tblVendas[[#This Row],[valor_total]]&lt;0, MEDIAN(tblVendas[valor_total]), tblVendas[[#This Row],[valor_total]])</f>
        <v>432</v>
      </c>
    </row>
    <row r="486" spans="1:14" x14ac:dyDescent="0.25">
      <c r="A486" s="1">
        <v>45541</v>
      </c>
      <c r="B486">
        <v>2024</v>
      </c>
      <c r="C486">
        <v>9</v>
      </c>
      <c r="D486">
        <v>3</v>
      </c>
      <c r="E486" t="s">
        <v>31</v>
      </c>
      <c r="F486" t="s">
        <v>19</v>
      </c>
      <c r="G486" t="s">
        <v>16</v>
      </c>
      <c r="H486" t="s">
        <v>26</v>
      </c>
      <c r="I486">
        <v>6</v>
      </c>
      <c r="J486">
        <v>123</v>
      </c>
      <c r="K486">
        <v>738</v>
      </c>
      <c r="L486" t="str">
        <f>IF(tblVendas[[#This Row],[regiao]]="", "Não informado", tblVendas[[#This Row],[regiao]])</f>
        <v>Sul</v>
      </c>
      <c r="M486" t="str">
        <f>IF(tblVendas[[#This Row],[categoria]]="", "Outros", tblVendas[[#This Row],[categoria]])</f>
        <v>Vestuário</v>
      </c>
      <c r="N486">
        <f>IF(tblVendas[[#This Row],[valor_total]]&lt;0, MEDIAN(tblVendas[valor_total]), tblVendas[[#This Row],[valor_total]])</f>
        <v>738</v>
      </c>
    </row>
    <row r="487" spans="1:14" x14ac:dyDescent="0.25">
      <c r="A487" s="1">
        <v>45301</v>
      </c>
      <c r="B487">
        <v>2024</v>
      </c>
      <c r="C487">
        <v>1</v>
      </c>
      <c r="D487">
        <v>1</v>
      </c>
      <c r="E487" t="s">
        <v>32</v>
      </c>
      <c r="F487" t="s">
        <v>19</v>
      </c>
      <c r="G487" t="s">
        <v>20</v>
      </c>
      <c r="H487" t="s">
        <v>14</v>
      </c>
      <c r="I487">
        <v>6</v>
      </c>
      <c r="J487">
        <v>50</v>
      </c>
      <c r="K487">
        <v>300</v>
      </c>
      <c r="L487" t="str">
        <f>IF(tblVendas[[#This Row],[regiao]]="", "Não informado", tblVendas[[#This Row],[regiao]])</f>
        <v>Norte</v>
      </c>
      <c r="M487" t="str">
        <f>IF(tblVendas[[#This Row],[categoria]]="", "Outros", tblVendas[[#This Row],[categoria]])</f>
        <v>Vestuário</v>
      </c>
      <c r="N487">
        <f>IF(tblVendas[[#This Row],[valor_total]]&lt;0, MEDIAN(tblVendas[valor_total]), tblVendas[[#This Row],[valor_total]])</f>
        <v>300</v>
      </c>
    </row>
    <row r="488" spans="1:14" x14ac:dyDescent="0.25">
      <c r="A488" s="1">
        <v>45537</v>
      </c>
      <c r="B488">
        <v>2024</v>
      </c>
      <c r="C488">
        <v>9</v>
      </c>
      <c r="D488">
        <v>3</v>
      </c>
      <c r="E488" t="s">
        <v>15</v>
      </c>
      <c r="F488" t="s">
        <v>12</v>
      </c>
      <c r="G488" t="s">
        <v>28</v>
      </c>
      <c r="H488" t="s">
        <v>26</v>
      </c>
      <c r="I488">
        <v>18</v>
      </c>
      <c r="J488">
        <v>113</v>
      </c>
      <c r="K488">
        <v>2034</v>
      </c>
      <c r="L488" t="str">
        <f>IF(tblVendas[[#This Row],[regiao]]="", "Não informado", tblVendas[[#This Row],[regiao]])</f>
        <v>Sul</v>
      </c>
      <c r="M488" t="str">
        <f>IF(tblVendas[[#This Row],[categoria]]="", "Outros", tblVendas[[#This Row],[categoria]])</f>
        <v>Calçados</v>
      </c>
      <c r="N488">
        <f>IF(tblVendas[[#This Row],[valor_total]]&lt;0, MEDIAN(tblVendas[valor_total]), tblVendas[[#This Row],[valor_total]])</f>
        <v>2034</v>
      </c>
    </row>
    <row r="489" spans="1:14" x14ac:dyDescent="0.25">
      <c r="A489" s="1">
        <v>45616</v>
      </c>
      <c r="B489">
        <v>2024</v>
      </c>
      <c r="C489">
        <v>11</v>
      </c>
      <c r="D489">
        <v>4</v>
      </c>
      <c r="E489" t="s">
        <v>25</v>
      </c>
      <c r="F489" t="s">
        <v>19</v>
      </c>
      <c r="G489" t="s">
        <v>20</v>
      </c>
      <c r="H489" t="s">
        <v>14</v>
      </c>
      <c r="I489">
        <v>17</v>
      </c>
      <c r="J489">
        <v>169</v>
      </c>
      <c r="K489">
        <v>2873</v>
      </c>
      <c r="L489" t="str">
        <f>IF(tblVendas[[#This Row],[regiao]]="", "Não informado", tblVendas[[#This Row],[regiao]])</f>
        <v>Norte</v>
      </c>
      <c r="M489" t="str">
        <f>IF(tblVendas[[#This Row],[categoria]]="", "Outros", tblVendas[[#This Row],[categoria]])</f>
        <v>Vestuário</v>
      </c>
      <c r="N489">
        <f>IF(tblVendas[[#This Row],[valor_total]]&lt;0, MEDIAN(tblVendas[valor_total]), tblVendas[[#This Row],[valor_total]])</f>
        <v>2873</v>
      </c>
    </row>
    <row r="490" spans="1:14" x14ac:dyDescent="0.25">
      <c r="A490" s="1">
        <v>45391</v>
      </c>
      <c r="B490">
        <v>2024</v>
      </c>
      <c r="C490">
        <v>4</v>
      </c>
      <c r="D490">
        <v>2</v>
      </c>
      <c r="E490" t="s">
        <v>25</v>
      </c>
      <c r="F490" t="s">
        <v>19</v>
      </c>
      <c r="G490" t="s">
        <v>13</v>
      </c>
      <c r="H490" t="s">
        <v>14</v>
      </c>
      <c r="I490">
        <v>12</v>
      </c>
      <c r="J490">
        <v>66</v>
      </c>
      <c r="K490">
        <v>792</v>
      </c>
      <c r="L490" t="str">
        <f>IF(tblVendas[[#This Row],[regiao]]="", "Não informado", tblVendas[[#This Row],[regiao]])</f>
        <v>Norte</v>
      </c>
      <c r="M490" t="str">
        <f>IF(tblVendas[[#This Row],[categoria]]="", "Outros", tblVendas[[#This Row],[categoria]])</f>
        <v>Vestuário</v>
      </c>
      <c r="N490">
        <f>IF(tblVendas[[#This Row],[valor_total]]&lt;0, MEDIAN(tblVendas[valor_total]), tblVendas[[#This Row],[valor_total]])</f>
        <v>792</v>
      </c>
    </row>
    <row r="491" spans="1:14" x14ac:dyDescent="0.25">
      <c r="A491" s="1">
        <v>45581</v>
      </c>
      <c r="B491">
        <v>2024</v>
      </c>
      <c r="C491">
        <v>10</v>
      </c>
      <c r="D491">
        <v>4</v>
      </c>
      <c r="E491" t="s">
        <v>11</v>
      </c>
      <c r="F491" t="s">
        <v>23</v>
      </c>
      <c r="G491" t="s">
        <v>20</v>
      </c>
      <c r="H491" t="s">
        <v>17</v>
      </c>
      <c r="I491">
        <v>6</v>
      </c>
      <c r="J491">
        <v>71</v>
      </c>
      <c r="K491">
        <v>426</v>
      </c>
      <c r="L491" t="str">
        <f>IF(tblVendas[[#This Row],[regiao]]="", "Não informado", tblVendas[[#This Row],[regiao]])</f>
        <v>Leste</v>
      </c>
      <c r="M491" t="str">
        <f>IF(tblVendas[[#This Row],[categoria]]="", "Outros", tblVendas[[#This Row],[categoria]])</f>
        <v>Acessórios</v>
      </c>
      <c r="N491">
        <f>IF(tblVendas[[#This Row],[valor_total]]&lt;0, MEDIAN(tblVendas[valor_total]), tblVendas[[#This Row],[valor_total]])</f>
        <v>426</v>
      </c>
    </row>
    <row r="492" spans="1:14" x14ac:dyDescent="0.25">
      <c r="A492" s="1">
        <v>45471</v>
      </c>
      <c r="B492">
        <v>2024</v>
      </c>
      <c r="C492">
        <v>6</v>
      </c>
      <c r="D492">
        <v>2</v>
      </c>
      <c r="E492" t="s">
        <v>25</v>
      </c>
      <c r="F492" t="s">
        <v>19</v>
      </c>
      <c r="G492" t="s">
        <v>20</v>
      </c>
      <c r="H492" t="s">
        <v>29</v>
      </c>
      <c r="I492">
        <v>8</v>
      </c>
      <c r="J492">
        <v>174</v>
      </c>
      <c r="K492">
        <v>1392</v>
      </c>
      <c r="L492" t="str">
        <f>IF(tblVendas[[#This Row],[regiao]]="", "Não informado", tblVendas[[#This Row],[regiao]])</f>
        <v>Oeste</v>
      </c>
      <c r="M492" t="str">
        <f>IF(tblVendas[[#This Row],[categoria]]="", "Outros", tblVendas[[#This Row],[categoria]])</f>
        <v>Vestuário</v>
      </c>
      <c r="N492">
        <f>IF(tblVendas[[#This Row],[valor_total]]&lt;0, MEDIAN(tblVendas[valor_total]), tblVendas[[#This Row],[valor_total]])</f>
        <v>1392</v>
      </c>
    </row>
    <row r="493" spans="1:14" x14ac:dyDescent="0.25">
      <c r="A493" s="1">
        <v>45514</v>
      </c>
      <c r="B493">
        <v>2024</v>
      </c>
      <c r="C493">
        <v>8</v>
      </c>
      <c r="D493">
        <v>3</v>
      </c>
      <c r="E493" t="s">
        <v>27</v>
      </c>
      <c r="F493" t="s">
        <v>12</v>
      </c>
      <c r="G493" t="s">
        <v>20</v>
      </c>
      <c r="H493" t="s">
        <v>26</v>
      </c>
      <c r="I493">
        <v>19</v>
      </c>
      <c r="J493">
        <v>130</v>
      </c>
      <c r="K493">
        <v>2470</v>
      </c>
      <c r="L493" t="str">
        <f>IF(tblVendas[[#This Row],[regiao]]="", "Não informado", tblVendas[[#This Row],[regiao]])</f>
        <v>Sul</v>
      </c>
      <c r="M493" t="str">
        <f>IF(tblVendas[[#This Row],[categoria]]="", "Outros", tblVendas[[#This Row],[categoria]])</f>
        <v>Calçados</v>
      </c>
      <c r="N493">
        <f>IF(tblVendas[[#This Row],[valor_total]]&lt;0, MEDIAN(tblVendas[valor_total]), tblVendas[[#This Row],[valor_total]])</f>
        <v>2470</v>
      </c>
    </row>
    <row r="494" spans="1:14" x14ac:dyDescent="0.25">
      <c r="A494" s="1">
        <v>45541</v>
      </c>
      <c r="B494">
        <v>2024</v>
      </c>
      <c r="C494">
        <v>9</v>
      </c>
      <c r="D494">
        <v>3</v>
      </c>
      <c r="E494" t="s">
        <v>33</v>
      </c>
      <c r="F494" t="s">
        <v>12</v>
      </c>
      <c r="G494" t="s">
        <v>28</v>
      </c>
      <c r="H494" t="s">
        <v>14</v>
      </c>
      <c r="I494">
        <v>10</v>
      </c>
      <c r="J494">
        <v>77</v>
      </c>
      <c r="K494">
        <v>770</v>
      </c>
      <c r="L494" t="str">
        <f>IF(tblVendas[[#This Row],[regiao]]="", "Não informado", tblVendas[[#This Row],[regiao]])</f>
        <v>Norte</v>
      </c>
      <c r="M494" t="str">
        <f>IF(tblVendas[[#This Row],[categoria]]="", "Outros", tblVendas[[#This Row],[categoria]])</f>
        <v>Calçados</v>
      </c>
      <c r="N494">
        <f>IF(tblVendas[[#This Row],[valor_total]]&lt;0, MEDIAN(tblVendas[valor_total]), tblVendas[[#This Row],[valor_total]])</f>
        <v>770</v>
      </c>
    </row>
    <row r="495" spans="1:14" x14ac:dyDescent="0.25">
      <c r="A495" s="1">
        <v>45438</v>
      </c>
      <c r="B495">
        <v>2024</v>
      </c>
      <c r="C495">
        <v>5</v>
      </c>
      <c r="D495">
        <v>2</v>
      </c>
      <c r="E495" t="s">
        <v>18</v>
      </c>
      <c r="F495" t="s">
        <v>19</v>
      </c>
      <c r="G495" t="s">
        <v>20</v>
      </c>
      <c r="H495" t="s">
        <v>26</v>
      </c>
      <c r="I495">
        <v>1</v>
      </c>
      <c r="J495">
        <v>132</v>
      </c>
      <c r="K495">
        <v>132</v>
      </c>
      <c r="L495" t="str">
        <f>IF(tblVendas[[#This Row],[regiao]]="", "Não informado", tblVendas[[#This Row],[regiao]])</f>
        <v>Sul</v>
      </c>
      <c r="M495" t="str">
        <f>IF(tblVendas[[#This Row],[categoria]]="", "Outros", tblVendas[[#This Row],[categoria]])</f>
        <v>Vestuário</v>
      </c>
      <c r="N495">
        <f>IF(tblVendas[[#This Row],[valor_total]]&lt;0, MEDIAN(tblVendas[valor_total]), tblVendas[[#This Row],[valor_total]])</f>
        <v>132</v>
      </c>
    </row>
    <row r="496" spans="1:14" x14ac:dyDescent="0.25">
      <c r="A496" s="1">
        <v>45387</v>
      </c>
      <c r="B496">
        <v>2024</v>
      </c>
      <c r="C496">
        <v>4</v>
      </c>
      <c r="D496">
        <v>2</v>
      </c>
      <c r="E496" t="s">
        <v>11</v>
      </c>
      <c r="F496" t="s">
        <v>23</v>
      </c>
      <c r="G496" t="s">
        <v>28</v>
      </c>
      <c r="H496" t="s">
        <v>29</v>
      </c>
      <c r="I496">
        <v>13</v>
      </c>
      <c r="J496">
        <v>57</v>
      </c>
      <c r="K496">
        <v>741</v>
      </c>
      <c r="L496" t="str">
        <f>IF(tblVendas[[#This Row],[regiao]]="", "Não informado", tblVendas[[#This Row],[regiao]])</f>
        <v>Oeste</v>
      </c>
      <c r="M496" t="str">
        <f>IF(tblVendas[[#This Row],[categoria]]="", "Outros", tblVendas[[#This Row],[categoria]])</f>
        <v>Acessórios</v>
      </c>
      <c r="N496">
        <f>IF(tblVendas[[#This Row],[valor_total]]&lt;0, MEDIAN(tblVendas[valor_total]), tblVendas[[#This Row],[valor_total]])</f>
        <v>741</v>
      </c>
    </row>
    <row r="497" spans="1:14" x14ac:dyDescent="0.25">
      <c r="A497" s="1">
        <v>45548</v>
      </c>
      <c r="B497">
        <v>2024</v>
      </c>
      <c r="C497">
        <v>9</v>
      </c>
      <c r="D497">
        <v>3</v>
      </c>
      <c r="E497" t="s">
        <v>18</v>
      </c>
      <c r="F497" t="s">
        <v>23</v>
      </c>
      <c r="G497" t="s">
        <v>24</v>
      </c>
      <c r="H497" t="s">
        <v>29</v>
      </c>
      <c r="I497">
        <v>17</v>
      </c>
      <c r="J497">
        <v>70</v>
      </c>
      <c r="K497">
        <v>1190</v>
      </c>
      <c r="L497" t="str">
        <f>IF(tblVendas[[#This Row],[regiao]]="", "Não informado", tblVendas[[#This Row],[regiao]])</f>
        <v>Oeste</v>
      </c>
      <c r="M497" t="str">
        <f>IF(tblVendas[[#This Row],[categoria]]="", "Outros", tblVendas[[#This Row],[categoria]])</f>
        <v>Acessórios</v>
      </c>
      <c r="N497">
        <f>IF(tblVendas[[#This Row],[valor_total]]&lt;0, MEDIAN(tblVendas[valor_total]), tblVendas[[#This Row],[valor_total]])</f>
        <v>1190</v>
      </c>
    </row>
    <row r="498" spans="1:14" x14ac:dyDescent="0.25">
      <c r="A498" s="1">
        <v>45616</v>
      </c>
      <c r="B498">
        <v>2024</v>
      </c>
      <c r="C498">
        <v>11</v>
      </c>
      <c r="D498">
        <v>4</v>
      </c>
      <c r="E498" t="s">
        <v>32</v>
      </c>
      <c r="F498" t="s">
        <v>19</v>
      </c>
      <c r="G498" t="s">
        <v>13</v>
      </c>
      <c r="H498" t="s">
        <v>21</v>
      </c>
      <c r="I498">
        <v>3</v>
      </c>
      <c r="J498">
        <v>128</v>
      </c>
      <c r="K498">
        <v>384</v>
      </c>
      <c r="L498" t="str">
        <f>IF(tblVendas[[#This Row],[regiao]]="", "Não informado", tblVendas[[#This Row],[regiao]])</f>
        <v>Centro-Oeste</v>
      </c>
      <c r="M498" t="str">
        <f>IF(tblVendas[[#This Row],[categoria]]="", "Outros", tblVendas[[#This Row],[categoria]])</f>
        <v>Vestuário</v>
      </c>
      <c r="N498">
        <f>IF(tblVendas[[#This Row],[valor_total]]&lt;0, MEDIAN(tblVendas[valor_total]), tblVendas[[#This Row],[valor_total]])</f>
        <v>384</v>
      </c>
    </row>
    <row r="499" spans="1:14" x14ac:dyDescent="0.25">
      <c r="A499" s="1">
        <v>45295</v>
      </c>
      <c r="B499">
        <v>2024</v>
      </c>
      <c r="C499">
        <v>1</v>
      </c>
      <c r="D499">
        <v>1</v>
      </c>
      <c r="E499" t="s">
        <v>18</v>
      </c>
      <c r="F499" t="s">
        <v>19</v>
      </c>
      <c r="G499" t="s">
        <v>28</v>
      </c>
      <c r="H499" t="s">
        <v>29</v>
      </c>
      <c r="I499">
        <v>8</v>
      </c>
      <c r="J499">
        <v>76</v>
      </c>
      <c r="K499">
        <v>608</v>
      </c>
      <c r="L499" t="str">
        <f>IF(tblVendas[[#This Row],[regiao]]="", "Não informado", tblVendas[[#This Row],[regiao]])</f>
        <v>Oeste</v>
      </c>
      <c r="M499" t="str">
        <f>IF(tblVendas[[#This Row],[categoria]]="", "Outros", tblVendas[[#This Row],[categoria]])</f>
        <v>Vestuário</v>
      </c>
      <c r="N499">
        <f>IF(tblVendas[[#This Row],[valor_total]]&lt;0, MEDIAN(tblVendas[valor_total]), tblVendas[[#This Row],[valor_total]])</f>
        <v>608</v>
      </c>
    </row>
    <row r="500" spans="1:14" x14ac:dyDescent="0.25">
      <c r="A500" s="1">
        <v>45307</v>
      </c>
      <c r="B500">
        <v>2024</v>
      </c>
      <c r="C500">
        <v>1</v>
      </c>
      <c r="D500">
        <v>1</v>
      </c>
      <c r="E500" t="s">
        <v>18</v>
      </c>
      <c r="F500" t="s">
        <v>12</v>
      </c>
      <c r="G500" t="s">
        <v>24</v>
      </c>
      <c r="H500" t="s">
        <v>17</v>
      </c>
      <c r="I500">
        <v>14</v>
      </c>
      <c r="J500">
        <v>175</v>
      </c>
      <c r="K500">
        <v>2450</v>
      </c>
      <c r="L500" t="str">
        <f>IF(tblVendas[[#This Row],[regiao]]="", "Não informado", tblVendas[[#This Row],[regiao]])</f>
        <v>Leste</v>
      </c>
      <c r="M500" t="str">
        <f>IF(tblVendas[[#This Row],[categoria]]="", "Outros", tblVendas[[#This Row],[categoria]])</f>
        <v>Calçados</v>
      </c>
      <c r="N500">
        <f>IF(tblVendas[[#This Row],[valor_total]]&lt;0, MEDIAN(tblVendas[valor_total]), tblVendas[[#This Row],[valor_total]])</f>
        <v>2450</v>
      </c>
    </row>
    <row r="501" spans="1:14" x14ac:dyDescent="0.25">
      <c r="A501" s="1">
        <v>45571</v>
      </c>
      <c r="B501">
        <v>2024</v>
      </c>
      <c r="C501">
        <v>10</v>
      </c>
      <c r="D501">
        <v>4</v>
      </c>
      <c r="E501" t="s">
        <v>11</v>
      </c>
      <c r="F501" t="s">
        <v>19</v>
      </c>
      <c r="G501" t="s">
        <v>28</v>
      </c>
      <c r="H501" t="s">
        <v>14</v>
      </c>
      <c r="I501">
        <v>3</v>
      </c>
      <c r="J501">
        <v>134</v>
      </c>
      <c r="K501">
        <v>402</v>
      </c>
      <c r="L501" t="str">
        <f>IF(tblVendas[[#This Row],[regiao]]="", "Não informado", tblVendas[[#This Row],[regiao]])</f>
        <v>Norte</v>
      </c>
      <c r="M501" t="str">
        <f>IF(tblVendas[[#This Row],[categoria]]="", "Outros", tblVendas[[#This Row],[categoria]])</f>
        <v>Vestuário</v>
      </c>
      <c r="N501">
        <f>IF(tblVendas[[#This Row],[valor_total]]&lt;0, MEDIAN(tblVendas[valor_total]), tblVendas[[#This Row],[valor_total]])</f>
        <v>402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vendas categoria</vt:lpstr>
      <vt:lpstr>media vendedor</vt:lpstr>
      <vt:lpstr>vendas região</vt:lpstr>
      <vt:lpstr>cont. vendas produto</vt:lpstr>
      <vt:lpstr>vendas trimestre e categoria</vt:lpstr>
      <vt:lpstr>vendas por data</vt:lpstr>
      <vt:lpstr>vendas categoria regiao</vt:lpstr>
      <vt:lpstr>vendas categoria regiao tratada</vt:lpstr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</cp:lastModifiedBy>
  <dcterms:created xsi:type="dcterms:W3CDTF">2026-05-28T15:36:28Z</dcterms:created>
  <dcterms:modified xsi:type="dcterms:W3CDTF">2026-05-28T15:36:29Z</dcterms:modified>
</cp:coreProperties>
</file>