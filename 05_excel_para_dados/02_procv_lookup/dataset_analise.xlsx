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e\Desktop\estudos-analise-dados\05_excel_para_dados\02_procv_lookup\"/>
    </mc:Choice>
  </mc:AlternateContent>
  <xr:revisionPtr revIDLastSave="0" documentId="8_{6BF4606D-F11A-4A89-BA53-BEAF66736FD0}" xr6:coauthVersionLast="47" xr6:coauthVersionMax="47" xr10:uidLastSave="{00000000-0000-0000-0000-000000000000}"/>
  <bookViews>
    <workbookView xWindow="-120" yWindow="-120" windowWidth="29040" windowHeight="15870" xr2:uid="{0B154C0F-8686-4539-AC8E-A487F6E4E629}"/>
  </bookViews>
  <sheets>
    <sheet name="vendas" sheetId="2" r:id="rId1"/>
    <sheet name="vendedores" sheetId="4" r:id="rId2"/>
    <sheet name="produtos" sheetId="3" r:id="rId3"/>
    <sheet name="Planilha1" sheetId="1" r:id="rId4"/>
  </sheets>
  <definedNames>
    <definedName name="DadosExternos_1" localSheetId="0" hidden="1">vendas!$A$1:$E$201</definedName>
    <definedName name="DadosExternos_2" localSheetId="2" hidden="1">produtos!$A$1:$E$11</definedName>
    <definedName name="DadosExternos_3" localSheetId="1" hidden="1">vendedores!$A$1:$D$6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3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M11" i="2" a="1"/>
  <c r="M11" i="2" s="1"/>
  <c r="M21" i="2" a="1"/>
  <c r="M21" i="2" s="1"/>
  <c r="M32" i="2" a="1"/>
  <c r="M32" i="2" s="1"/>
  <c r="M42" i="2" a="1"/>
  <c r="M42" i="2" s="1"/>
  <c r="M52" i="2" a="1"/>
  <c r="M52" i="2" s="1"/>
  <c r="M73" i="2" a="1"/>
  <c r="M73" i="2" s="1"/>
  <c r="M83" i="2" a="1"/>
  <c r="M83" i="2" s="1"/>
  <c r="M93" i="2" a="1"/>
  <c r="M93" i="2" s="1"/>
  <c r="M104" i="2" a="1"/>
  <c r="M104" i="2" s="1"/>
  <c r="M114" i="2" a="1"/>
  <c r="M114" i="2" s="1"/>
  <c r="M124" i="2" a="1"/>
  <c r="M124" i="2" s="1"/>
  <c r="M145" i="2" a="1"/>
  <c r="M145" i="2" s="1"/>
  <c r="M155" i="2" a="1"/>
  <c r="M155" i="2" s="1"/>
  <c r="M165" i="2" a="1"/>
  <c r="M165" i="2" s="1"/>
  <c r="M176" i="2" a="1"/>
  <c r="M176" i="2" s="1"/>
  <c r="M186" i="2" a="1"/>
  <c r="M186" i="2" s="1"/>
  <c r="M196" i="2" a="1"/>
  <c r="M196" i="2" s="1"/>
  <c r="L2" i="2"/>
  <c r="M2" i="2" s="1" a="1"/>
  <c r="M2" i="2" s="1"/>
  <c r="L3" i="2"/>
  <c r="M3" i="2" s="1" a="1"/>
  <c r="M3" i="2" s="1"/>
  <c r="L4" i="2"/>
  <c r="M4" i="2" s="1" a="1"/>
  <c r="M4" i="2" s="1"/>
  <c r="L5" i="2"/>
  <c r="M5" i="2" s="1" a="1"/>
  <c r="M5" i="2" s="1"/>
  <c r="L6" i="2"/>
  <c r="M6" i="2" s="1" a="1"/>
  <c r="M6" i="2" s="1"/>
  <c r="L7" i="2"/>
  <c r="M7" i="2" s="1" a="1"/>
  <c r="M7" i="2" s="1"/>
  <c r="L8" i="2"/>
  <c r="M8" i="2" s="1" a="1"/>
  <c r="M8" i="2" s="1"/>
  <c r="L9" i="2"/>
  <c r="M9" i="2" s="1" a="1"/>
  <c r="M9" i="2" s="1"/>
  <c r="L10" i="2"/>
  <c r="M10" i="2" s="1" a="1"/>
  <c r="M10" i="2" s="1"/>
  <c r="L11" i="2"/>
  <c r="L12" i="2"/>
  <c r="M12" i="2" s="1" a="1"/>
  <c r="M12" i="2" s="1"/>
  <c r="L13" i="2"/>
  <c r="M13" i="2" s="1" a="1"/>
  <c r="M13" i="2" s="1"/>
  <c r="L14" i="2"/>
  <c r="M14" i="2" s="1" a="1"/>
  <c r="M14" i="2" s="1"/>
  <c r="L15" i="2"/>
  <c r="M15" i="2" s="1" a="1"/>
  <c r="M15" i="2" s="1"/>
  <c r="L16" i="2"/>
  <c r="M16" i="2" s="1" a="1"/>
  <c r="M16" i="2" s="1"/>
  <c r="L17" i="2"/>
  <c r="M17" i="2" s="1" a="1"/>
  <c r="M17" i="2" s="1"/>
  <c r="L18" i="2"/>
  <c r="M18" i="2" s="1" a="1"/>
  <c r="M18" i="2" s="1"/>
  <c r="L19" i="2"/>
  <c r="M19" i="2" s="1" a="1"/>
  <c r="M19" i="2" s="1"/>
  <c r="L20" i="2"/>
  <c r="M20" i="2" s="1" a="1"/>
  <c r="M20" i="2" s="1"/>
  <c r="L21" i="2"/>
  <c r="L22" i="2"/>
  <c r="M22" i="2" s="1" a="1"/>
  <c r="M22" i="2" s="1"/>
  <c r="L23" i="2"/>
  <c r="M23" i="2" s="1" a="1"/>
  <c r="M23" i="2" s="1"/>
  <c r="L24" i="2"/>
  <c r="M24" i="2" s="1" a="1"/>
  <c r="M24" i="2" s="1"/>
  <c r="L25" i="2"/>
  <c r="M25" i="2" s="1" a="1"/>
  <c r="M25" i="2" s="1"/>
  <c r="L26" i="2"/>
  <c r="M26" i="2" s="1" a="1"/>
  <c r="M26" i="2" s="1"/>
  <c r="L27" i="2"/>
  <c r="M27" i="2" s="1" a="1"/>
  <c r="M27" i="2" s="1"/>
  <c r="L28" i="2"/>
  <c r="M28" i="2" s="1" a="1"/>
  <c r="M28" i="2" s="1"/>
  <c r="L29" i="2"/>
  <c r="M29" i="2" s="1" a="1"/>
  <c r="M29" i="2" s="1"/>
  <c r="L30" i="2"/>
  <c r="M30" i="2" s="1" a="1"/>
  <c r="M30" i="2" s="1"/>
  <c r="L31" i="2"/>
  <c r="M31" i="2" s="1" a="1"/>
  <c r="M31" i="2" s="1"/>
  <c r="L32" i="2"/>
  <c r="L33" i="2"/>
  <c r="M33" i="2" s="1" a="1"/>
  <c r="M33" i="2" s="1"/>
  <c r="L34" i="2"/>
  <c r="M34" i="2" s="1" a="1"/>
  <c r="M34" i="2" s="1"/>
  <c r="L35" i="2"/>
  <c r="M35" i="2" s="1" a="1"/>
  <c r="M35" i="2" s="1"/>
  <c r="L36" i="2"/>
  <c r="M36" i="2" s="1" a="1"/>
  <c r="M36" i="2" s="1"/>
  <c r="L37" i="2"/>
  <c r="M37" i="2" s="1" a="1"/>
  <c r="M37" i="2" s="1"/>
  <c r="L38" i="2"/>
  <c r="M38" i="2" s="1" a="1"/>
  <c r="M38" i="2" s="1"/>
  <c r="L39" i="2"/>
  <c r="M39" i="2" s="1" a="1"/>
  <c r="M39" i="2" s="1"/>
  <c r="L40" i="2"/>
  <c r="M40" i="2" s="1" a="1"/>
  <c r="M40" i="2" s="1"/>
  <c r="L41" i="2"/>
  <c r="M41" i="2" s="1" a="1"/>
  <c r="M41" i="2" s="1"/>
  <c r="L42" i="2"/>
  <c r="L43" i="2"/>
  <c r="M43" i="2" s="1" a="1"/>
  <c r="M43" i="2" s="1"/>
  <c r="L44" i="2"/>
  <c r="M44" i="2" s="1" a="1"/>
  <c r="M44" i="2" s="1"/>
  <c r="L45" i="2"/>
  <c r="M45" i="2" s="1" a="1"/>
  <c r="M45" i="2" s="1"/>
  <c r="L46" i="2"/>
  <c r="M46" i="2" s="1" a="1"/>
  <c r="M46" i="2" s="1"/>
  <c r="L47" i="2"/>
  <c r="M47" i="2" s="1" a="1"/>
  <c r="M47" i="2" s="1"/>
  <c r="L48" i="2"/>
  <c r="M48" i="2" s="1" a="1"/>
  <c r="M48" i="2" s="1"/>
  <c r="L49" i="2"/>
  <c r="M49" i="2" s="1" a="1"/>
  <c r="M49" i="2" s="1"/>
  <c r="L50" i="2"/>
  <c r="M50" i="2" s="1" a="1"/>
  <c r="M50" i="2" s="1"/>
  <c r="L51" i="2"/>
  <c r="M51" i="2" s="1" a="1"/>
  <c r="M51" i="2" s="1"/>
  <c r="L52" i="2"/>
  <c r="L53" i="2"/>
  <c r="M53" i="2" s="1" a="1"/>
  <c r="M53" i="2" s="1"/>
  <c r="L54" i="2"/>
  <c r="M54" i="2" s="1" a="1"/>
  <c r="M54" i="2" s="1"/>
  <c r="L55" i="2"/>
  <c r="M55" i="2" s="1" a="1"/>
  <c r="M55" i="2" s="1"/>
  <c r="L56" i="2"/>
  <c r="M56" i="2" s="1" a="1"/>
  <c r="M56" i="2" s="1"/>
  <c r="L57" i="2"/>
  <c r="M57" i="2" s="1" a="1"/>
  <c r="M57" i="2" s="1"/>
  <c r="L58" i="2"/>
  <c r="M58" i="2" s="1" a="1"/>
  <c r="M58" i="2" s="1"/>
  <c r="L59" i="2"/>
  <c r="M59" i="2" s="1" a="1"/>
  <c r="M59" i="2" s="1"/>
  <c r="L60" i="2"/>
  <c r="M60" i="2" s="1" a="1"/>
  <c r="M60" i="2" s="1"/>
  <c r="L61" i="2"/>
  <c r="M61" i="2" s="1" a="1"/>
  <c r="M61" i="2" s="1"/>
  <c r="L62" i="2"/>
  <c r="M62" i="2" s="1" a="1"/>
  <c r="M62" i="2" s="1"/>
  <c r="L63" i="2"/>
  <c r="M63" i="2" s="1" a="1"/>
  <c r="M63" i="2" s="1"/>
  <c r="L64" i="2"/>
  <c r="M64" i="2" s="1" a="1"/>
  <c r="M64" i="2" s="1"/>
  <c r="L65" i="2"/>
  <c r="M65" i="2" s="1" a="1"/>
  <c r="M65" i="2" s="1"/>
  <c r="L66" i="2"/>
  <c r="M66" i="2" s="1" a="1"/>
  <c r="M66" i="2" s="1"/>
  <c r="L67" i="2"/>
  <c r="M67" i="2" s="1" a="1"/>
  <c r="M67" i="2" s="1"/>
  <c r="L68" i="2"/>
  <c r="M68" i="2" s="1" a="1"/>
  <c r="M68" i="2" s="1"/>
  <c r="L69" i="2"/>
  <c r="M69" i="2" s="1" a="1"/>
  <c r="M69" i="2" s="1"/>
  <c r="L70" i="2"/>
  <c r="M70" i="2" s="1" a="1"/>
  <c r="M70" i="2" s="1"/>
  <c r="L71" i="2"/>
  <c r="M71" i="2" s="1" a="1"/>
  <c r="M71" i="2" s="1"/>
  <c r="L72" i="2"/>
  <c r="M72" i="2" s="1" a="1"/>
  <c r="M72" i="2" s="1"/>
  <c r="L73" i="2"/>
  <c r="L74" i="2"/>
  <c r="M74" i="2" s="1" a="1"/>
  <c r="M74" i="2" s="1"/>
  <c r="L75" i="2"/>
  <c r="M75" i="2" s="1" a="1"/>
  <c r="M75" i="2" s="1"/>
  <c r="L76" i="2"/>
  <c r="M76" i="2" s="1" a="1"/>
  <c r="M76" i="2" s="1"/>
  <c r="L77" i="2"/>
  <c r="M77" i="2" s="1" a="1"/>
  <c r="M77" i="2" s="1"/>
  <c r="L78" i="2"/>
  <c r="M78" i="2" s="1" a="1"/>
  <c r="M78" i="2" s="1"/>
  <c r="L79" i="2"/>
  <c r="M79" i="2" s="1" a="1"/>
  <c r="M79" i="2" s="1"/>
  <c r="L80" i="2"/>
  <c r="M80" i="2" s="1" a="1"/>
  <c r="M80" i="2" s="1"/>
  <c r="L81" i="2"/>
  <c r="M81" i="2" s="1" a="1"/>
  <c r="M81" i="2" s="1"/>
  <c r="L82" i="2"/>
  <c r="M82" i="2" s="1" a="1"/>
  <c r="M82" i="2" s="1"/>
  <c r="L83" i="2"/>
  <c r="L84" i="2"/>
  <c r="M84" i="2" s="1" a="1"/>
  <c r="M84" i="2" s="1"/>
  <c r="L85" i="2"/>
  <c r="M85" i="2" s="1" a="1"/>
  <c r="M85" i="2" s="1"/>
  <c r="L86" i="2"/>
  <c r="M86" i="2" s="1" a="1"/>
  <c r="M86" i="2" s="1"/>
  <c r="L87" i="2"/>
  <c r="M87" i="2" s="1" a="1"/>
  <c r="M87" i="2" s="1"/>
  <c r="L88" i="2"/>
  <c r="M88" i="2" s="1" a="1"/>
  <c r="M88" i="2" s="1"/>
  <c r="L89" i="2"/>
  <c r="M89" i="2" s="1" a="1"/>
  <c r="M89" i="2" s="1"/>
  <c r="L90" i="2"/>
  <c r="M90" i="2" s="1" a="1"/>
  <c r="M90" i="2" s="1"/>
  <c r="L91" i="2"/>
  <c r="M91" i="2" s="1" a="1"/>
  <c r="M91" i="2" s="1"/>
  <c r="L92" i="2"/>
  <c r="M92" i="2" s="1" a="1"/>
  <c r="M92" i="2" s="1"/>
  <c r="L93" i="2"/>
  <c r="L94" i="2"/>
  <c r="M94" i="2" s="1" a="1"/>
  <c r="M94" i="2" s="1"/>
  <c r="L95" i="2"/>
  <c r="M95" i="2" s="1" a="1"/>
  <c r="M95" i="2" s="1"/>
  <c r="L96" i="2"/>
  <c r="M96" i="2" s="1" a="1"/>
  <c r="M96" i="2" s="1"/>
  <c r="L97" i="2"/>
  <c r="M97" i="2" s="1" a="1"/>
  <c r="M97" i="2" s="1"/>
  <c r="L98" i="2"/>
  <c r="M98" i="2" s="1" a="1"/>
  <c r="M98" i="2" s="1"/>
  <c r="L99" i="2"/>
  <c r="M99" i="2" s="1" a="1"/>
  <c r="M99" i="2" s="1"/>
  <c r="L100" i="2"/>
  <c r="M100" i="2" s="1" a="1"/>
  <c r="M100" i="2" s="1"/>
  <c r="L101" i="2"/>
  <c r="M101" i="2" s="1" a="1"/>
  <c r="M101" i="2" s="1"/>
  <c r="L102" i="2"/>
  <c r="M102" i="2" s="1" a="1"/>
  <c r="M102" i="2" s="1"/>
  <c r="L103" i="2"/>
  <c r="M103" i="2" s="1" a="1"/>
  <c r="M103" i="2" s="1"/>
  <c r="L104" i="2"/>
  <c r="L105" i="2"/>
  <c r="M105" i="2" s="1" a="1"/>
  <c r="M105" i="2" s="1"/>
  <c r="L106" i="2"/>
  <c r="M106" i="2" s="1" a="1"/>
  <c r="M106" i="2" s="1"/>
  <c r="L107" i="2"/>
  <c r="M107" i="2" s="1" a="1"/>
  <c r="M107" i="2" s="1"/>
  <c r="L108" i="2"/>
  <c r="M108" i="2" s="1" a="1"/>
  <c r="M108" i="2" s="1"/>
  <c r="L109" i="2"/>
  <c r="M109" i="2" s="1" a="1"/>
  <c r="M109" i="2" s="1"/>
  <c r="L110" i="2"/>
  <c r="M110" i="2" s="1" a="1"/>
  <c r="M110" i="2" s="1"/>
  <c r="L111" i="2"/>
  <c r="M111" i="2" s="1" a="1"/>
  <c r="M111" i="2" s="1"/>
  <c r="L112" i="2"/>
  <c r="M112" i="2" s="1" a="1"/>
  <c r="M112" i="2" s="1"/>
  <c r="L113" i="2"/>
  <c r="M113" i="2" s="1" a="1"/>
  <c r="M113" i="2" s="1"/>
  <c r="L114" i="2"/>
  <c r="L115" i="2"/>
  <c r="M115" i="2" s="1" a="1"/>
  <c r="M115" i="2" s="1"/>
  <c r="L116" i="2"/>
  <c r="M116" i="2" s="1" a="1"/>
  <c r="M116" i="2" s="1"/>
  <c r="L117" i="2"/>
  <c r="M117" i="2" s="1" a="1"/>
  <c r="M117" i="2" s="1"/>
  <c r="L118" i="2"/>
  <c r="M118" i="2" s="1" a="1"/>
  <c r="M118" i="2" s="1"/>
  <c r="L119" i="2"/>
  <c r="M119" i="2" s="1" a="1"/>
  <c r="M119" i="2" s="1"/>
  <c r="L120" i="2"/>
  <c r="M120" i="2" s="1" a="1"/>
  <c r="M120" i="2" s="1"/>
  <c r="L121" i="2"/>
  <c r="M121" i="2" s="1" a="1"/>
  <c r="M121" i="2" s="1"/>
  <c r="L122" i="2"/>
  <c r="M122" i="2" s="1" a="1"/>
  <c r="M122" i="2" s="1"/>
  <c r="L123" i="2"/>
  <c r="M123" i="2" s="1" a="1"/>
  <c r="M123" i="2" s="1"/>
  <c r="L124" i="2"/>
  <c r="L125" i="2"/>
  <c r="M125" i="2" s="1" a="1"/>
  <c r="M125" i="2" s="1"/>
  <c r="L126" i="2"/>
  <c r="M126" i="2" s="1" a="1"/>
  <c r="M126" i="2" s="1"/>
  <c r="L127" i="2"/>
  <c r="M127" i="2" s="1" a="1"/>
  <c r="M127" i="2" s="1"/>
  <c r="L128" i="2"/>
  <c r="M128" i="2" s="1" a="1"/>
  <c r="M128" i="2" s="1"/>
  <c r="L129" i="2"/>
  <c r="M129" i="2" s="1" a="1"/>
  <c r="M129" i="2" s="1"/>
  <c r="L130" i="2"/>
  <c r="M130" i="2" s="1" a="1"/>
  <c r="M130" i="2" s="1"/>
  <c r="L131" i="2"/>
  <c r="M131" i="2" s="1" a="1"/>
  <c r="M131" i="2" s="1"/>
  <c r="L132" i="2"/>
  <c r="M132" i="2" s="1" a="1"/>
  <c r="M132" i="2" s="1"/>
  <c r="L133" i="2"/>
  <c r="M133" i="2" s="1" a="1"/>
  <c r="M133" i="2" s="1"/>
  <c r="L134" i="2"/>
  <c r="M134" i="2" s="1" a="1"/>
  <c r="M134" i="2" s="1"/>
  <c r="L135" i="2"/>
  <c r="M135" i="2" s="1" a="1"/>
  <c r="M135" i="2" s="1"/>
  <c r="L136" i="2"/>
  <c r="M136" i="2" s="1" a="1"/>
  <c r="M136" i="2" s="1"/>
  <c r="L137" i="2"/>
  <c r="M137" i="2" s="1" a="1"/>
  <c r="M137" i="2" s="1"/>
  <c r="L138" i="2"/>
  <c r="M138" i="2" s="1" a="1"/>
  <c r="M138" i="2" s="1"/>
  <c r="L139" i="2"/>
  <c r="M139" i="2" s="1" a="1"/>
  <c r="M139" i="2" s="1"/>
  <c r="L140" i="2"/>
  <c r="M140" i="2" s="1" a="1"/>
  <c r="M140" i="2" s="1"/>
  <c r="L141" i="2"/>
  <c r="M141" i="2" s="1" a="1"/>
  <c r="M141" i="2" s="1"/>
  <c r="L142" i="2"/>
  <c r="M142" i="2" s="1" a="1"/>
  <c r="M142" i="2" s="1"/>
  <c r="L143" i="2"/>
  <c r="M143" i="2" s="1" a="1"/>
  <c r="M143" i="2" s="1"/>
  <c r="L144" i="2"/>
  <c r="M144" i="2" s="1" a="1"/>
  <c r="M144" i="2" s="1"/>
  <c r="L145" i="2"/>
  <c r="L146" i="2"/>
  <c r="M146" i="2" s="1" a="1"/>
  <c r="M146" i="2" s="1"/>
  <c r="L147" i="2"/>
  <c r="M147" i="2" s="1" a="1"/>
  <c r="M147" i="2" s="1"/>
  <c r="L148" i="2"/>
  <c r="M148" i="2" s="1" a="1"/>
  <c r="M148" i="2" s="1"/>
  <c r="L149" i="2"/>
  <c r="M149" i="2" s="1" a="1"/>
  <c r="M149" i="2" s="1"/>
  <c r="L150" i="2"/>
  <c r="M150" i="2" s="1" a="1"/>
  <c r="M150" i="2" s="1"/>
  <c r="L151" i="2"/>
  <c r="M151" i="2" s="1" a="1"/>
  <c r="M151" i="2" s="1"/>
  <c r="L152" i="2"/>
  <c r="M152" i="2" s="1" a="1"/>
  <c r="M152" i="2" s="1"/>
  <c r="L153" i="2"/>
  <c r="M153" i="2" s="1" a="1"/>
  <c r="M153" i="2" s="1"/>
  <c r="L154" i="2"/>
  <c r="M154" i="2" s="1" a="1"/>
  <c r="M154" i="2" s="1"/>
  <c r="L155" i="2"/>
  <c r="L156" i="2"/>
  <c r="M156" i="2" s="1" a="1"/>
  <c r="M156" i="2" s="1"/>
  <c r="L157" i="2"/>
  <c r="M157" i="2" s="1" a="1"/>
  <c r="M157" i="2" s="1"/>
  <c r="L158" i="2"/>
  <c r="M158" i="2" s="1" a="1"/>
  <c r="M158" i="2" s="1"/>
  <c r="L159" i="2"/>
  <c r="M159" i="2" s="1" a="1"/>
  <c r="M159" i="2" s="1"/>
  <c r="L160" i="2"/>
  <c r="M160" i="2" s="1" a="1"/>
  <c r="M160" i="2" s="1"/>
  <c r="L161" i="2"/>
  <c r="M161" i="2" s="1" a="1"/>
  <c r="M161" i="2" s="1"/>
  <c r="L162" i="2"/>
  <c r="M162" i="2" s="1" a="1"/>
  <c r="M162" i="2" s="1"/>
  <c r="L163" i="2"/>
  <c r="M163" i="2" s="1" a="1"/>
  <c r="M163" i="2" s="1"/>
  <c r="L164" i="2"/>
  <c r="M164" i="2" s="1" a="1"/>
  <c r="M164" i="2" s="1"/>
  <c r="L165" i="2"/>
  <c r="L166" i="2"/>
  <c r="M166" i="2" s="1" a="1"/>
  <c r="M166" i="2" s="1"/>
  <c r="L167" i="2"/>
  <c r="M167" i="2" s="1" a="1"/>
  <c r="M167" i="2" s="1"/>
  <c r="L168" i="2"/>
  <c r="M168" i="2" s="1" a="1"/>
  <c r="M168" i="2" s="1"/>
  <c r="L169" i="2"/>
  <c r="M169" i="2" s="1" a="1"/>
  <c r="M169" i="2" s="1"/>
  <c r="L170" i="2"/>
  <c r="M170" i="2" s="1" a="1"/>
  <c r="M170" i="2" s="1"/>
  <c r="L171" i="2"/>
  <c r="M171" i="2" s="1" a="1"/>
  <c r="M171" i="2" s="1"/>
  <c r="L172" i="2"/>
  <c r="M172" i="2" s="1" a="1"/>
  <c r="M172" i="2" s="1"/>
  <c r="L173" i="2"/>
  <c r="M173" i="2" s="1" a="1"/>
  <c r="M173" i="2" s="1"/>
  <c r="L174" i="2"/>
  <c r="M174" i="2" s="1" a="1"/>
  <c r="M174" i="2" s="1"/>
  <c r="L175" i="2"/>
  <c r="M175" i="2" s="1" a="1"/>
  <c r="M175" i="2" s="1"/>
  <c r="L176" i="2"/>
  <c r="L177" i="2"/>
  <c r="M177" i="2" s="1" a="1"/>
  <c r="M177" i="2" s="1"/>
  <c r="L178" i="2"/>
  <c r="M178" i="2" s="1" a="1"/>
  <c r="M178" i="2" s="1"/>
  <c r="L179" i="2"/>
  <c r="M179" i="2" s="1" a="1"/>
  <c r="M179" i="2" s="1"/>
  <c r="L180" i="2"/>
  <c r="M180" i="2" s="1" a="1"/>
  <c r="M180" i="2" s="1"/>
  <c r="L181" i="2"/>
  <c r="M181" i="2" s="1" a="1"/>
  <c r="M181" i="2" s="1"/>
  <c r="L182" i="2"/>
  <c r="M182" i="2" s="1" a="1"/>
  <c r="M182" i="2" s="1"/>
  <c r="L183" i="2"/>
  <c r="M183" i="2" s="1" a="1"/>
  <c r="M183" i="2" s="1"/>
  <c r="L184" i="2"/>
  <c r="M184" i="2" s="1" a="1"/>
  <c r="M184" i="2" s="1"/>
  <c r="L185" i="2"/>
  <c r="M185" i="2" s="1" a="1"/>
  <c r="M185" i="2" s="1"/>
  <c r="L186" i="2"/>
  <c r="L187" i="2"/>
  <c r="M187" i="2" s="1" a="1"/>
  <c r="M187" i="2" s="1"/>
  <c r="L188" i="2"/>
  <c r="M188" i="2" s="1" a="1"/>
  <c r="M188" i="2" s="1"/>
  <c r="L189" i="2"/>
  <c r="M189" i="2" s="1" a="1"/>
  <c r="M189" i="2" s="1"/>
  <c r="L190" i="2"/>
  <c r="M190" i="2" s="1" a="1"/>
  <c r="M190" i="2" s="1"/>
  <c r="L191" i="2"/>
  <c r="M191" i="2" s="1" a="1"/>
  <c r="M191" i="2" s="1"/>
  <c r="L192" i="2"/>
  <c r="M192" i="2" s="1" a="1"/>
  <c r="M192" i="2" s="1"/>
  <c r="L193" i="2"/>
  <c r="M193" i="2" s="1" a="1"/>
  <c r="M193" i="2" s="1"/>
  <c r="L194" i="2"/>
  <c r="M194" i="2" s="1" a="1"/>
  <c r="M194" i="2" s="1"/>
  <c r="L195" i="2"/>
  <c r="M195" i="2" s="1" a="1"/>
  <c r="M195" i="2" s="1"/>
  <c r="L196" i="2"/>
  <c r="L197" i="2"/>
  <c r="M197" i="2" s="1" a="1"/>
  <c r="M197" i="2" s="1"/>
  <c r="L198" i="2"/>
  <c r="M198" i="2" s="1" a="1"/>
  <c r="M198" i="2" s="1"/>
  <c r="L199" i="2"/>
  <c r="M199" i="2" s="1" a="1"/>
  <c r="M199" i="2" s="1"/>
  <c r="L200" i="2"/>
  <c r="M200" i="2" s="1" a="1"/>
  <c r="M200" i="2" s="1"/>
  <c r="L201" i="2"/>
  <c r="M201" i="2" s="1" a="1"/>
  <c r="M201" i="2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G2" i="2"/>
  <c r="I2" i="2" s="1"/>
  <c r="G3" i="2"/>
  <c r="I3" i="2" s="1"/>
  <c r="G4" i="2"/>
  <c r="G5" i="2"/>
  <c r="I5" i="2" s="1"/>
  <c r="G6" i="2"/>
  <c r="I6" i="2" s="1"/>
  <c r="G7" i="2"/>
  <c r="G8" i="2"/>
  <c r="G9" i="2"/>
  <c r="G10" i="2"/>
  <c r="G11" i="2"/>
  <c r="I11" i="2" s="1"/>
  <c r="G12" i="2"/>
  <c r="I12" i="2" s="1"/>
  <c r="G13" i="2"/>
  <c r="I13" i="2" s="1"/>
  <c r="G14" i="2"/>
  <c r="I14" i="2" s="1"/>
  <c r="G15" i="2"/>
  <c r="G16" i="2"/>
  <c r="G17" i="2"/>
  <c r="I17" i="2" s="1"/>
  <c r="G18" i="2"/>
  <c r="G19" i="2"/>
  <c r="G20" i="2"/>
  <c r="G21" i="2"/>
  <c r="G22" i="2"/>
  <c r="G23" i="2"/>
  <c r="I23" i="2" s="1"/>
  <c r="G24" i="2"/>
  <c r="I24" i="2" s="1"/>
  <c r="G25" i="2"/>
  <c r="I25" i="2" s="1"/>
  <c r="G26" i="2"/>
  <c r="G27" i="2"/>
  <c r="G28" i="2"/>
  <c r="G29" i="2"/>
  <c r="I29" i="2" s="1"/>
  <c r="G30" i="2"/>
  <c r="I30" i="2" s="1"/>
  <c r="G31" i="2"/>
  <c r="G32" i="2"/>
  <c r="G33" i="2"/>
  <c r="G34" i="2"/>
  <c r="I34" i="2" s="1"/>
  <c r="G35" i="2"/>
  <c r="I35" i="2" s="1"/>
  <c r="G36" i="2"/>
  <c r="G37" i="2"/>
  <c r="I37" i="2" s="1"/>
  <c r="G38" i="2"/>
  <c r="I38" i="2" s="1"/>
  <c r="G39" i="2"/>
  <c r="G40" i="2"/>
  <c r="G41" i="2"/>
  <c r="I41" i="2" s="1"/>
  <c r="G42" i="2"/>
  <c r="I42" i="2" s="1"/>
  <c r="G43" i="2"/>
  <c r="G44" i="2"/>
  <c r="G45" i="2"/>
  <c r="G46" i="2"/>
  <c r="G47" i="2"/>
  <c r="G48" i="2"/>
  <c r="G49" i="2"/>
  <c r="I49" i="2" s="1"/>
  <c r="G50" i="2"/>
  <c r="I50" i="2" s="1"/>
  <c r="G51" i="2"/>
  <c r="G52" i="2"/>
  <c r="G53" i="2"/>
  <c r="I53" i="2" s="1"/>
  <c r="G54" i="2"/>
  <c r="I54" i="2" s="1"/>
  <c r="G55" i="2"/>
  <c r="G56" i="2"/>
  <c r="G57" i="2"/>
  <c r="G58" i="2"/>
  <c r="G59" i="2"/>
  <c r="I59" i="2" s="1"/>
  <c r="G60" i="2"/>
  <c r="G61" i="2"/>
  <c r="I61" i="2" s="1"/>
  <c r="G62" i="2"/>
  <c r="I62" i="2" s="1"/>
  <c r="G63" i="2"/>
  <c r="G64" i="2"/>
  <c r="G65" i="2"/>
  <c r="G66" i="2"/>
  <c r="I66" i="2" s="1"/>
  <c r="G67" i="2"/>
  <c r="G68" i="2"/>
  <c r="G69" i="2"/>
  <c r="G70" i="2"/>
  <c r="G71" i="2"/>
  <c r="I71" i="2" s="1"/>
  <c r="G72" i="2"/>
  <c r="I72" i="2" s="1"/>
  <c r="G73" i="2"/>
  <c r="I73" i="2" s="1"/>
  <c r="G74" i="2"/>
  <c r="I74" i="2" s="1"/>
  <c r="G75" i="2"/>
  <c r="G76" i="2"/>
  <c r="G77" i="2"/>
  <c r="I77" i="2" s="1"/>
  <c r="G78" i="2"/>
  <c r="I78" i="2" s="1"/>
  <c r="G79" i="2"/>
  <c r="G80" i="2"/>
  <c r="G81" i="2"/>
  <c r="G82" i="2"/>
  <c r="G83" i="2"/>
  <c r="I83" i="2" s="1"/>
  <c r="G84" i="2"/>
  <c r="I84" i="2" s="1"/>
  <c r="G85" i="2"/>
  <c r="I85" i="2" s="1"/>
  <c r="G86" i="2"/>
  <c r="I86" i="2" s="1"/>
  <c r="G87" i="2"/>
  <c r="G88" i="2"/>
  <c r="G89" i="2"/>
  <c r="I89" i="2" s="1"/>
  <c r="G90" i="2"/>
  <c r="I90" i="2" s="1"/>
  <c r="G91" i="2"/>
  <c r="G92" i="2"/>
  <c r="G93" i="2"/>
  <c r="G94" i="2"/>
  <c r="G95" i="2"/>
  <c r="I95" i="2" s="1"/>
  <c r="G96" i="2"/>
  <c r="I96" i="2" s="1"/>
  <c r="G97" i="2"/>
  <c r="I97" i="2" s="1"/>
  <c r="G98" i="2"/>
  <c r="I98" i="2" s="1"/>
  <c r="G99" i="2"/>
  <c r="G100" i="2"/>
  <c r="G101" i="2"/>
  <c r="I101" i="2" s="1"/>
  <c r="G102" i="2"/>
  <c r="I102" i="2" s="1"/>
  <c r="G103" i="2"/>
  <c r="G104" i="2"/>
  <c r="G105" i="2"/>
  <c r="G106" i="2"/>
  <c r="G107" i="2"/>
  <c r="I107" i="2" s="1"/>
  <c r="G108" i="2"/>
  <c r="I108" i="2" s="1"/>
  <c r="G109" i="2"/>
  <c r="I109" i="2" s="1"/>
  <c r="G110" i="2"/>
  <c r="G111" i="2"/>
  <c r="G112" i="2"/>
  <c r="G113" i="2"/>
  <c r="I113" i="2" s="1"/>
  <c r="G114" i="2"/>
  <c r="I114" i="2" s="1"/>
  <c r="G115" i="2"/>
  <c r="G116" i="2"/>
  <c r="G117" i="2"/>
  <c r="G118" i="2"/>
  <c r="G119" i="2"/>
  <c r="I119" i="2" s="1"/>
  <c r="G120" i="2"/>
  <c r="I120" i="2" s="1"/>
  <c r="G121" i="2"/>
  <c r="I121" i="2" s="1"/>
  <c r="G122" i="2"/>
  <c r="I122" i="2" s="1"/>
  <c r="G123" i="2"/>
  <c r="G124" i="2"/>
  <c r="G125" i="2"/>
  <c r="I125" i="2" s="1"/>
  <c r="G126" i="2"/>
  <c r="G127" i="2"/>
  <c r="G128" i="2"/>
  <c r="G129" i="2"/>
  <c r="G130" i="2"/>
  <c r="G131" i="2"/>
  <c r="I131" i="2" s="1"/>
  <c r="G132" i="2"/>
  <c r="I132" i="2" s="1"/>
  <c r="G133" i="2"/>
  <c r="I133" i="2" s="1"/>
  <c r="G134" i="2"/>
  <c r="I134" i="2" s="1"/>
  <c r="G135" i="2"/>
  <c r="G136" i="2"/>
  <c r="G137" i="2"/>
  <c r="I137" i="2" s="1"/>
  <c r="G138" i="2"/>
  <c r="I138" i="2" s="1"/>
  <c r="G139" i="2"/>
  <c r="G140" i="2"/>
  <c r="G141" i="2"/>
  <c r="G142" i="2"/>
  <c r="G143" i="2"/>
  <c r="I143" i="2" s="1"/>
  <c r="G144" i="2"/>
  <c r="I144" i="2" s="1"/>
  <c r="G145" i="2"/>
  <c r="I145" i="2" s="1"/>
  <c r="G146" i="2"/>
  <c r="I146" i="2" s="1"/>
  <c r="G147" i="2"/>
  <c r="G148" i="2"/>
  <c r="G149" i="2"/>
  <c r="I149" i="2" s="1"/>
  <c r="G150" i="2"/>
  <c r="I150" i="2" s="1"/>
  <c r="G151" i="2"/>
  <c r="G152" i="2"/>
  <c r="G153" i="2"/>
  <c r="G154" i="2"/>
  <c r="G155" i="2"/>
  <c r="I155" i="2" s="1"/>
  <c r="G156" i="2"/>
  <c r="G157" i="2"/>
  <c r="I157" i="2" s="1"/>
  <c r="G158" i="2"/>
  <c r="I158" i="2" s="1"/>
  <c r="G159" i="2"/>
  <c r="G160" i="2"/>
  <c r="G161" i="2"/>
  <c r="I161" i="2" s="1"/>
  <c r="G162" i="2"/>
  <c r="I162" i="2" s="1"/>
  <c r="G163" i="2"/>
  <c r="G164" i="2"/>
  <c r="G165" i="2"/>
  <c r="I165" i="2" s="1"/>
  <c r="G166" i="2"/>
  <c r="G167" i="2"/>
  <c r="G168" i="2"/>
  <c r="I168" i="2" s="1"/>
  <c r="G169" i="2"/>
  <c r="I169" i="2" s="1"/>
  <c r="G170" i="2"/>
  <c r="I170" i="2" s="1"/>
  <c r="G171" i="2"/>
  <c r="G172" i="2"/>
  <c r="G173" i="2"/>
  <c r="G174" i="2"/>
  <c r="G175" i="2"/>
  <c r="G176" i="2"/>
  <c r="G177" i="2"/>
  <c r="G178" i="2"/>
  <c r="G179" i="2"/>
  <c r="I179" i="2" s="1"/>
  <c r="G180" i="2"/>
  <c r="G181" i="2"/>
  <c r="I181" i="2" s="1"/>
  <c r="G182" i="2"/>
  <c r="I182" i="2" s="1"/>
  <c r="G183" i="2"/>
  <c r="G184" i="2"/>
  <c r="G185" i="2"/>
  <c r="I185" i="2" s="1"/>
  <c r="G186" i="2"/>
  <c r="I186" i="2" s="1"/>
  <c r="G187" i="2"/>
  <c r="G188" i="2"/>
  <c r="G189" i="2"/>
  <c r="I189" i="2" s="1"/>
  <c r="G190" i="2"/>
  <c r="G191" i="2"/>
  <c r="I191" i="2" s="1"/>
  <c r="G192" i="2"/>
  <c r="G193" i="2"/>
  <c r="I193" i="2" s="1"/>
  <c r="G194" i="2"/>
  <c r="I194" i="2" s="1"/>
  <c r="G195" i="2"/>
  <c r="G196" i="2"/>
  <c r="G197" i="2"/>
  <c r="I197" i="2" s="1"/>
  <c r="G198" i="2"/>
  <c r="I198" i="2" s="1"/>
  <c r="G199" i="2"/>
  <c r="G200" i="2"/>
  <c r="G2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I4" i="2"/>
  <c r="I7" i="2"/>
  <c r="I8" i="2"/>
  <c r="I9" i="2"/>
  <c r="I10" i="2"/>
  <c r="I15" i="2"/>
  <c r="I16" i="2"/>
  <c r="I18" i="2"/>
  <c r="I19" i="2"/>
  <c r="I20" i="2"/>
  <c r="I21" i="2"/>
  <c r="I22" i="2"/>
  <c r="I26" i="2"/>
  <c r="I27" i="2"/>
  <c r="I28" i="2"/>
  <c r="I31" i="2"/>
  <c r="I32" i="2"/>
  <c r="I33" i="2"/>
  <c r="I36" i="2"/>
  <c r="I39" i="2"/>
  <c r="I40" i="2"/>
  <c r="I43" i="2"/>
  <c r="I44" i="2"/>
  <c r="I45" i="2"/>
  <c r="I46" i="2"/>
  <c r="I47" i="2"/>
  <c r="I48" i="2"/>
  <c r="I51" i="2"/>
  <c r="I52" i="2"/>
  <c r="I55" i="2"/>
  <c r="I56" i="2"/>
  <c r="I57" i="2"/>
  <c r="I58" i="2"/>
  <c r="I60" i="2"/>
  <c r="I63" i="2"/>
  <c r="I64" i="2"/>
  <c r="I65" i="2"/>
  <c r="I67" i="2"/>
  <c r="I68" i="2"/>
  <c r="I69" i="2"/>
  <c r="I70" i="2"/>
  <c r="I75" i="2"/>
  <c r="I76" i="2"/>
  <c r="I79" i="2"/>
  <c r="I80" i="2"/>
  <c r="I81" i="2"/>
  <c r="I82" i="2"/>
  <c r="I87" i="2"/>
  <c r="I88" i="2"/>
  <c r="I91" i="2"/>
  <c r="I92" i="2"/>
  <c r="I93" i="2"/>
  <c r="I94" i="2"/>
  <c r="I99" i="2"/>
  <c r="I100" i="2"/>
  <c r="I103" i="2"/>
  <c r="I104" i="2"/>
  <c r="I105" i="2"/>
  <c r="I106" i="2"/>
  <c r="I110" i="2"/>
  <c r="I111" i="2"/>
  <c r="I112" i="2"/>
  <c r="I115" i="2"/>
  <c r="I116" i="2"/>
  <c r="I117" i="2"/>
  <c r="I118" i="2"/>
  <c r="I123" i="2"/>
  <c r="I124" i="2"/>
  <c r="I126" i="2"/>
  <c r="I127" i="2"/>
  <c r="I128" i="2"/>
  <c r="I129" i="2"/>
  <c r="I130" i="2"/>
  <c r="I135" i="2"/>
  <c r="I136" i="2"/>
  <c r="I139" i="2"/>
  <c r="I140" i="2"/>
  <c r="I141" i="2"/>
  <c r="I142" i="2"/>
  <c r="I147" i="2"/>
  <c r="I148" i="2"/>
  <c r="I151" i="2"/>
  <c r="I152" i="2"/>
  <c r="I153" i="2"/>
  <c r="I154" i="2"/>
  <c r="I156" i="2"/>
  <c r="I159" i="2"/>
  <c r="I160" i="2"/>
  <c r="I163" i="2"/>
  <c r="I164" i="2"/>
  <c r="I166" i="2"/>
  <c r="I167" i="2"/>
  <c r="I171" i="2"/>
  <c r="I172" i="2"/>
  <c r="I173" i="2"/>
  <c r="I174" i="2"/>
  <c r="I175" i="2"/>
  <c r="I176" i="2"/>
  <c r="I177" i="2"/>
  <c r="I178" i="2"/>
  <c r="I180" i="2"/>
  <c r="I183" i="2"/>
  <c r="I184" i="2"/>
  <c r="I187" i="2"/>
  <c r="I188" i="2"/>
  <c r="I190" i="2"/>
  <c r="I192" i="2"/>
  <c r="I195" i="2"/>
  <c r="I196" i="2"/>
  <c r="I199" i="2"/>
  <c r="I200" i="2"/>
  <c r="I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28E6D7-650A-40B5-A0BF-9E7E92E03BC4}" keepAlive="1" name="Consulta - produtos" description="Conexão com a consulta 'produtos' na pasta de trabalho." type="5" refreshedVersion="8" background="1" saveData="1">
    <dbPr connection="Provider=Microsoft.Mashup.OleDb.1;Data Source=$Workbook$;Location=produtos;Extended Properties=&quot;&quot;" command="SELECT * FROM [produtos]"/>
  </connection>
  <connection id="2" xr16:uid="{F26FDD76-E76D-42BC-8C80-9BEE77C88602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  <connection id="3" xr16:uid="{FD35C156-4660-41DB-8419-0D35856AE75E}" keepAlive="1" name="Consulta - vendedores" description="Conexão com a consulta 'vendedores' na pasta de trabalho." type="5" refreshedVersion="8" background="1" saveData="1">
    <dbPr connection="Provider=Microsoft.Mashup.OleDb.1;Data Source=$Workbook$;Location=vendedores;Extended Properties=&quot;&quot;" command="SELECT * FROM [vendedor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<sst xmlns="http://schemas.openxmlformats.org/spreadsheetml/2006/main" count="260" uniqueCount="43">
  <si>
    <t>id_venda</t>
  </si>
  <si>
    <t>id_produto</t>
  </si>
  <si>
    <t>quantidade</t>
  </si>
  <si>
    <t>data_venda</t>
  </si>
  <si>
    <t>vendedor</t>
  </si>
  <si>
    <t>Bruno</t>
  </si>
  <si>
    <t>Elisa</t>
  </si>
  <si>
    <t>Daniel</t>
  </si>
  <si>
    <t>Carla</t>
  </si>
  <si>
    <t>Ana</t>
  </si>
  <si>
    <t>nome_produto</t>
  </si>
  <si>
    <t>categoria</t>
  </si>
  <si>
    <t>preco_unitario</t>
  </si>
  <si>
    <t>custo_unitario</t>
  </si>
  <si>
    <t>Camiseta</t>
  </si>
  <si>
    <t>Calçados</t>
  </si>
  <si>
    <t>Calça Jeans</t>
  </si>
  <si>
    <t>Tênis</t>
  </si>
  <si>
    <t>Vestuário</t>
  </si>
  <si>
    <t>Boné</t>
  </si>
  <si>
    <t>Moletom</t>
  </si>
  <si>
    <t>Bermuda</t>
  </si>
  <si>
    <t>Jaqueta</t>
  </si>
  <si>
    <t>Regata</t>
  </si>
  <si>
    <t>Meia</t>
  </si>
  <si>
    <t>Cinto</t>
  </si>
  <si>
    <t>Acessórios</t>
  </si>
  <si>
    <t>regiao</t>
  </si>
  <si>
    <t>meta_mensal</t>
  </si>
  <si>
    <t>data_admissao</t>
  </si>
  <si>
    <t>Sul</t>
  </si>
  <si>
    <t>Sudeste</t>
  </si>
  <si>
    <t>Nordeste</t>
  </si>
  <si>
    <t>Norte</t>
  </si>
  <si>
    <t>Centro-Oeste</t>
  </si>
  <si>
    <t>valor_total</t>
  </si>
  <si>
    <t>nome_produto2</t>
  </si>
  <si>
    <t>regiao_vendedor</t>
  </si>
  <si>
    <t>posicao</t>
  </si>
  <si>
    <t>nome_produto_index</t>
  </si>
  <si>
    <t>nome_produto_index_direto</t>
  </si>
  <si>
    <t>região</t>
  </si>
  <si>
    <t>Valor total por 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</si>
</sst>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D0CFFFC-917A-4ECF-9671-0A59D602210E}" autoFormatId="16" applyNumberFormats="0" applyBorderFormats="0" applyFontFormats="0" applyPatternFormats="0" applyAlignmentFormats="0" applyWidthHeightFormats="0">
  <queryTableRefresh nextId="15" unboundColumnsRight="9">
    <queryTableFields count="14">
      <queryTableField id="1" name="id_venda" tableColumnId="1"/>
      <queryTableField id="2" name="id_produto" tableColumnId="2"/>
      <queryTableField id="3" name="quantidade" tableColumnId="3"/>
      <queryTableField id="4" name="data_venda" tableColumnId="4"/>
      <queryTableField id="5" name="vendedor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BB3838D0-CEA1-45A1-B8C1-8B4D16AB3F3C}" autoFormatId="16" applyNumberFormats="0" applyBorderFormats="0" applyFontFormats="0" applyPatternFormats="0" applyAlignmentFormats="0" applyWidthHeightFormats="0">
  <queryTableRefresh nextId="5">
    <queryTableFields count="4">
      <queryTableField id="1" name="vendedor" tableColumnId="1"/>
      <queryTableField id="2" name="regiao" tableColumnId="2"/>
      <queryTableField id="3" name="meta_mensal" tableColumnId="3"/>
      <queryTableField id="4" name="data_admissa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D87025BD-7842-4100-8E9F-28EA700E9123}" autoFormatId="16" applyNumberFormats="0" applyBorderFormats="0" applyFontFormats="0" applyPatternFormats="0" applyAlignmentFormats="0" applyWidthHeightFormats="0">
  <queryTableRefresh nextId="6">
    <queryTableFields count="5">
      <queryTableField id="1" name="id_produto" tableColumnId="1"/>
      <queryTableField id="2" name="nome_produto" tableColumnId="2"/>
      <queryTableField id="3" name="categoria" tableColumnId="3"/>
      <queryTableField id="4" name="preco_unitario" tableColumnId="4"/>
      <queryTableField id="5" name="custo_unitari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A36E9-50E2-4E56-97D4-9097AC353E1B}" name="tblVendas" displayName="tblVendas" ref="A1:N201" tableType="queryTable" totalsRowShown="0" headerRowDxfId="9">
  <autoFilter ref="A1:N201" xr:uid="{4BBA36E9-50E2-4E56-97D4-9097AC353E1B}"/>
  <tableColumns count="14">
    <tableColumn id="1" xr3:uid="{6FE95A90-9460-4574-A94E-4979987D086B}" uniqueName="1" name="id_venda" queryTableFieldId="1"/>
    <tableColumn id="2" xr3:uid="{440526AD-BAAB-4DBC-89B2-40008BC9C8F7}" uniqueName="2" name="id_produto" queryTableFieldId="2"/>
    <tableColumn id="3" xr3:uid="{4D6C443B-F2ED-4EB4-A1A8-9A0485510FD2}" uniqueName="3" name="quantidade" queryTableFieldId="3"/>
    <tableColumn id="4" xr3:uid="{F0012D57-DECA-43E5-BFD5-F71BC7099C7D}" uniqueName="4" name="data_venda" queryTableFieldId="4" dataDxfId="16"/>
    <tableColumn id="5" xr3:uid="{3AE53175-5149-490B-B4D8-D7616058EB88}" uniqueName="5" name="vendedor" queryTableFieldId="5" dataDxfId="15"/>
    <tableColumn id="6" xr3:uid="{570BBFDB-DDBE-46DB-8E5F-5BF584C99DB0}" uniqueName="6" name="nome_produto" queryTableFieldId="6" dataDxfId="7">
      <calculatedColumnFormula>IFERROR(VLOOKUP(tblVendas[[#This Row],[id_produto]], tblProdutos[], 2, 0), "Produto não cadastrado")</calculatedColumnFormula>
    </tableColumn>
    <tableColumn id="7" xr3:uid="{EF1D53A5-46B6-402C-8CC9-F53FD2C304FD}" uniqueName="7" name="preco_unitario" queryTableFieldId="7" dataDxfId="6">
      <calculatedColumnFormula>IFERROR(VLOOKUP(tblVendas[[#This Row],[id_produto]], tblProdutos[], 4, 0), "Produto não cadastrado")</calculatedColumnFormula>
    </tableColumn>
    <tableColumn id="8" xr3:uid="{6675669B-DF18-49C8-BECA-51C52DC8D369}" uniqueName="8" name="categoria" queryTableFieldId="8" dataDxfId="5">
      <calculatedColumnFormula>IFERROR(VLOOKUP(tblVendas[[#This Row],[id_produto]], tblProdutos[], 3, 0), "Produto não cadastrado")</calculatedColumnFormula>
    </tableColumn>
    <tableColumn id="9" xr3:uid="{F1332388-876A-4B44-B0E2-CA02837345F7}" uniqueName="9" name="valor_total" queryTableFieldId="9" dataDxfId="8">
      <calculatedColumnFormula>tblVendas[[#This Row],[quantidade]]*tblVendas[[#This Row],[preco_unitario]]</calculatedColumnFormula>
    </tableColumn>
    <tableColumn id="10" xr3:uid="{B322695E-7A63-45D0-8B55-3CC2F2201411}" uniqueName="10" name="nome_produto2" queryTableFieldId="10" dataDxfId="4">
      <calculatedColumnFormula>_xlfn.XLOOKUP(tblVendas[[#This Row],[id_produto]], tblProdutos[id_produto], tblProdutos[nome_produto], "Não encontrado")</calculatedColumnFormula>
    </tableColumn>
    <tableColumn id="11" xr3:uid="{79759B0A-E32B-4EAA-A688-B3437CDB75D6}" uniqueName="11" name="regiao_vendedor" queryTableFieldId="11" dataDxfId="3">
      <calculatedColumnFormula>_xlfn.XLOOKUP(tblVendas[[#This Row],[vendedor]], tblVendedores[vendedor], tblVendedores[regiao], "Não encontrado")</calculatedColumnFormula>
    </tableColumn>
    <tableColumn id="12" xr3:uid="{A1E07AC0-E075-49AC-ADC1-8BBB2AB1D732}" uniqueName="12" name="posicao" queryTableFieldId="12" dataDxfId="2">
      <calculatedColumnFormula>MATCH(tblVendas[[#This Row],[id_produto]], tblProdutos[id_produto])</calculatedColumnFormula>
    </tableColumn>
    <tableColumn id="13" xr3:uid="{1568DF50-6FE4-4C5C-B8FF-76FFD47A4183}" uniqueName="13" name="nome_produto_index" queryTableFieldId="13" dataDxfId="1">
      <calculatedColumnFormula array="1">INDEX(tblProdutos[nome_produto], tblVendas[[#This Row],[posicao]])</calculatedColumnFormula>
    </tableColumn>
    <tableColumn id="14" xr3:uid="{2D08C5DE-1AB6-4AA7-A58F-5D2424188143}" uniqueName="14" name="nome_produto_index_direto" queryTableFieldId="14" dataDxfId="0">
      <calculatedColumnFormula>INDEX(tblProdutos[nome_produto], MATCH(tblVendas[[#This Row],[id_produto]], tblProdutos[id_produto]))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3E9EE6-EC67-4792-9891-4C6B653CA1E8}" name="Tabela4" displayName="Tabela4" ref="P2:Q7" totalsRowShown="0">
  <autoFilter ref="P2:Q7" xr:uid="{B83E9EE6-EC67-4792-9891-4C6B653CA1E8}"/>
  <tableColumns count="2">
    <tableColumn id="1" xr3:uid="{B80F24C8-10BA-42E0-8822-80859CBC966B}" name="região"/>
    <tableColumn id="2" xr3:uid="{65671DFF-829D-4CD1-BC03-E18D360CF351}" name="Valor total por região">
      <calculatedColumnFormula>SUMIF(tblVendas[regiao_vendedor], P3, tblVendas[valor_total])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9C810-2F64-4F53-A3D9-41215BA5532E}" name="tblVendedores" displayName="tblVendedores" ref="A1:D6" tableType="queryTable" totalsRowShown="0">
  <autoFilter ref="A1:D6" xr:uid="{DDE9C810-2F64-4F53-A3D9-41215BA5532E}"/>
  <tableColumns count="4">
    <tableColumn id="1" xr3:uid="{42831250-8F55-420A-9262-79CDE66877E3}" uniqueName="1" name="vendedor" queryTableFieldId="1" dataDxfId="12"/>
    <tableColumn id="2" xr3:uid="{83C0A762-C18A-482A-A185-0AB20C2F526E}" uniqueName="2" name="regiao" queryTableFieldId="2" dataDxfId="11"/>
    <tableColumn id="3" xr3:uid="{A2095B0E-BF5D-4FB9-8603-C203727007AC}" uniqueName="3" name="meta_mensal" queryTableFieldId="3"/>
    <tableColumn id="4" xr3:uid="{A190CD1D-B197-47F7-879C-5A38F8FFCE8D}" uniqueName="4" name="data_admissao" queryTableFieldId="4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150867-2B46-4E0F-B573-028B89299330}" name="tblProdutos" displayName="tblProdutos" ref="A1:E11" tableType="queryTable" totalsRowShown="0">
  <autoFilter ref="A1:E11" xr:uid="{74150867-2B46-4E0F-B573-028B89299330}"/>
  <tableColumns count="5">
    <tableColumn id="1" xr3:uid="{756382D6-C7B3-4F14-95A3-9F0D35DD6752}" uniqueName="1" name="id_produto" queryTableFieldId="1"/>
    <tableColumn id="2" xr3:uid="{DDE414C7-83B0-4628-B807-759F1DDF914B}" uniqueName="2" name="nome_produto" queryTableFieldId="2" dataDxfId="14"/>
    <tableColumn id="3" xr3:uid="{E18CBCD1-2540-435E-9BD3-AEE88C9993C4}" uniqueName="3" name="categoria" queryTableFieldId="3" dataDxfId="13"/>
    <tableColumn id="4" xr3:uid="{54A15A58-2316-45D8-B0A8-60A3F7A346C7}" uniqueName="4" name="preco_unitario" queryTableFieldId="4"/>
    <tableColumn id="5" xr3:uid="{BEB8832A-3769-492B-A353-9C4BADF623FB}" uniqueName="5" name="custo_unitari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64D8-A04B-4A80-877F-98E0A538AC0F}">
  <dimension ref="A1:Q201"/>
  <sheetViews>
    <sheetView tabSelected="1" workbookViewId="0">
      <selection activeCell="Q15" sqref="Q15"/>
    </sheetView>
  </sheetViews>
  <sheetFormatPr defaultRowHeight="15" x14ac:dyDescent="0.25"/>
  <cols>
    <col min="1" max="1" width="11.28515625" bestFit="1" customWidth="1"/>
    <col min="2" max="2" width="13" bestFit="1" customWidth="1"/>
    <col min="3" max="4" width="13.42578125" bestFit="1" customWidth="1"/>
    <col min="5" max="5" width="11.85546875" bestFit="1" customWidth="1"/>
    <col min="6" max="6" width="16.28515625" customWidth="1"/>
    <col min="7" max="7" width="16.7109375" style="3" customWidth="1"/>
    <col min="8" max="8" width="13.28515625" style="5" customWidth="1"/>
    <col min="9" max="9" width="14.7109375" style="7" customWidth="1"/>
    <col min="10" max="10" width="17.85546875" customWidth="1"/>
    <col min="11" max="11" width="18.7109375" customWidth="1"/>
    <col min="12" max="12" width="11.140625" customWidth="1"/>
    <col min="13" max="13" width="13.5703125" customWidth="1"/>
    <col min="14" max="14" width="14.85546875" customWidth="1"/>
    <col min="16" max="16" width="20.42578125" bestFit="1" customWidth="1"/>
    <col min="17" max="17" width="22.28515625" customWidth="1"/>
  </cols>
  <sheetData>
    <row r="1" spans="1:17" s="8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10</v>
      </c>
      <c r="G1" s="4" t="s">
        <v>12</v>
      </c>
      <c r="H1" s="8" t="s">
        <v>11</v>
      </c>
      <c r="I1" s="8" t="s">
        <v>35</v>
      </c>
      <c r="J1" s="8" t="s">
        <v>36</v>
      </c>
      <c r="K1" s="8" t="s">
        <v>37</v>
      </c>
      <c r="L1" s="8" t="s">
        <v>38</v>
      </c>
      <c r="M1" s="8" t="s">
        <v>39</v>
      </c>
      <c r="N1" s="8" t="s">
        <v>40</v>
      </c>
    </row>
    <row r="2" spans="1:17" x14ac:dyDescent="0.25">
      <c r="A2">
        <v>1</v>
      </c>
      <c r="B2">
        <v>7</v>
      </c>
      <c r="C2">
        <v>6</v>
      </c>
      <c r="D2" s="1">
        <v>45292</v>
      </c>
      <c r="E2" s="2" t="s">
        <v>5</v>
      </c>
      <c r="F2" t="str">
        <f>IFERROR(VLOOKUP(tblVendas[[#This Row],[id_produto]], tblProdutos[], 2, 0), "Produto não cadastrado")</f>
        <v>Jaqueta</v>
      </c>
      <c r="G2" s="3">
        <f>IFERROR(VLOOKUP(tblVendas[[#This Row],[id_produto]], tblProdutos[], 4, 0), "Produto não cadastrado")</f>
        <v>163</v>
      </c>
      <c r="H2" s="6" t="str">
        <f>IFERROR(VLOOKUP(tblVendas[[#This Row],[id_produto]], tblProdutos[], 3, 0), "Produto não cadastrado")</f>
        <v>Calçados</v>
      </c>
      <c r="I2" s="3">
        <f>tblVendas[[#This Row],[quantidade]]*tblVendas[[#This Row],[preco_unitario]]</f>
        <v>978</v>
      </c>
      <c r="J2" t="str">
        <f>_xlfn.XLOOKUP(tblVendas[[#This Row],[id_produto]], tblProdutos[id_produto], tblProdutos[nome_produto], "Não encontrado")</f>
        <v>Jaqueta</v>
      </c>
      <c r="K2" t="str">
        <f>_xlfn.XLOOKUP(tblVendas[[#This Row],[vendedor]], tblVendedores[vendedor], tblVendedores[regiao], "Não encontrado")</f>
        <v>Sudeste</v>
      </c>
      <c r="L2">
        <f>MATCH(tblVendas[[#This Row],[id_produto]], tblProdutos[id_produto])</f>
        <v>7</v>
      </c>
      <c r="M2" s="2" t="str" cm="1">
        <f t="array" ref="M2">INDEX(tblProdutos[nome_produto], tblVendas[[#This Row],[posicao]])</f>
        <v>Jaqueta</v>
      </c>
      <c r="N2" s="2" t="str">
        <f>INDEX(tblProdutos[nome_produto], MATCH(tblVendas[[#This Row],[id_produto]], tblProdutos[id_produto]))</f>
        <v>Jaqueta</v>
      </c>
      <c r="P2" t="s">
        <v>41</v>
      </c>
      <c r="Q2" s="8" t="s">
        <v>42</v>
      </c>
    </row>
    <row r="3" spans="1:17" x14ac:dyDescent="0.25">
      <c r="A3">
        <v>2</v>
      </c>
      <c r="B3">
        <v>4</v>
      </c>
      <c r="C3">
        <v>1</v>
      </c>
      <c r="D3" s="1">
        <v>45293</v>
      </c>
      <c r="E3" s="2" t="s">
        <v>5</v>
      </c>
      <c r="F3" t="str">
        <f>IFERROR(VLOOKUP(tblVendas[[#This Row],[id_produto]], tblProdutos[], 2, 0), "Produto não cadastrado")</f>
        <v>Boné</v>
      </c>
      <c r="G3" s="3">
        <f>IFERROR(VLOOKUP(tblVendas[[#This Row],[id_produto]], tblProdutos[], 4, 0), "Produto não cadastrado")</f>
        <v>170</v>
      </c>
      <c r="H3" s="6" t="str">
        <f>IFERROR(VLOOKUP(tblVendas[[#This Row],[id_produto]], tblProdutos[], 3, 0), "Produto não cadastrado")</f>
        <v>Calçados</v>
      </c>
      <c r="I3" s="3">
        <f>tblVendas[[#This Row],[quantidade]]*tblVendas[[#This Row],[preco_unitario]]</f>
        <v>170</v>
      </c>
      <c r="J3" t="str">
        <f>_xlfn.XLOOKUP(tblVendas[[#This Row],[id_produto]], tblProdutos[id_produto], tblProdutos[nome_produto], "Não encontrado")</f>
        <v>Boné</v>
      </c>
      <c r="K3" t="str">
        <f>_xlfn.XLOOKUP(tblVendas[[#This Row],[vendedor]], tblVendedores[vendedor], tblVendedores[regiao], "Não encontrado")</f>
        <v>Sudeste</v>
      </c>
      <c r="L3">
        <f>MATCH(tblVendas[[#This Row],[id_produto]], tblProdutos[id_produto])</f>
        <v>4</v>
      </c>
      <c r="M3" s="2" t="str" cm="1">
        <f t="array" ref="M3">INDEX(tblProdutos[nome_produto], tblVendas[[#This Row],[posicao]])</f>
        <v>Boné</v>
      </c>
      <c r="N3" s="2" t="str">
        <f>INDEX(tblProdutos[nome_produto], MATCH(tblVendas[[#This Row],[id_produto]], tblProdutos[id_produto]))</f>
        <v>Boné</v>
      </c>
      <c r="P3" t="s">
        <v>33</v>
      </c>
      <c r="Q3">
        <f>SUMIF(tblVendas[regiao_vendedor], P3, tblVendas[valor_total])</f>
        <v>29308</v>
      </c>
    </row>
    <row r="4" spans="1:17" x14ac:dyDescent="0.25">
      <c r="A4">
        <v>3</v>
      </c>
      <c r="B4">
        <v>8</v>
      </c>
      <c r="C4">
        <v>9</v>
      </c>
      <c r="D4" s="1">
        <v>45294</v>
      </c>
      <c r="E4" s="2" t="s">
        <v>6</v>
      </c>
      <c r="F4" t="str">
        <f>IFERROR(VLOOKUP(tblVendas[[#This Row],[id_produto]], tblProdutos[], 2, 0), "Produto não cadastrado")</f>
        <v>Regata</v>
      </c>
      <c r="G4" s="3">
        <f>IFERROR(VLOOKUP(tblVendas[[#This Row],[id_produto]], tblProdutos[], 4, 0), "Produto não cadastrado")</f>
        <v>111</v>
      </c>
      <c r="H4" s="6" t="str">
        <f>IFERROR(VLOOKUP(tblVendas[[#This Row],[id_produto]], tblProdutos[], 3, 0), "Produto não cadastrado")</f>
        <v>Vestuário</v>
      </c>
      <c r="I4" s="3">
        <f>tblVendas[[#This Row],[quantidade]]*tblVendas[[#This Row],[preco_unitario]]</f>
        <v>999</v>
      </c>
      <c r="J4" t="str">
        <f>_xlfn.XLOOKUP(tblVendas[[#This Row],[id_produto]], tblProdutos[id_produto], tblProdutos[nome_produto], "Não encontrado")</f>
        <v>Regata</v>
      </c>
      <c r="K4" t="str">
        <f>_xlfn.XLOOKUP(tblVendas[[#This Row],[vendedor]], tblVendedores[vendedor], tblVendedores[regiao], "Não encontrado")</f>
        <v>Centro-Oeste</v>
      </c>
      <c r="L4">
        <f>MATCH(tblVendas[[#This Row],[id_produto]], tblProdutos[id_produto])</f>
        <v>8</v>
      </c>
      <c r="M4" s="2" t="str" cm="1">
        <f t="array" ref="M4">INDEX(tblProdutos[nome_produto], tblVendas[[#This Row],[posicao]])</f>
        <v>Regata</v>
      </c>
      <c r="N4" s="2" t="str">
        <f>INDEX(tblProdutos[nome_produto], MATCH(tblVendas[[#This Row],[id_produto]], tblProdutos[id_produto]))</f>
        <v>Regata</v>
      </c>
      <c r="P4" t="s">
        <v>32</v>
      </c>
      <c r="Q4">
        <f>SUMIF(tblVendas[regiao_vendedor], P4, tblVendas[valor_total])</f>
        <v>21995</v>
      </c>
    </row>
    <row r="5" spans="1:17" x14ac:dyDescent="0.25">
      <c r="A5">
        <v>4</v>
      </c>
      <c r="B5">
        <v>5</v>
      </c>
      <c r="C5">
        <v>6</v>
      </c>
      <c r="D5" s="1">
        <v>45295</v>
      </c>
      <c r="E5" s="2" t="s">
        <v>7</v>
      </c>
      <c r="F5" t="str">
        <f>IFERROR(VLOOKUP(tblVendas[[#This Row],[id_produto]], tblProdutos[], 2, 0), "Produto não cadastrado")</f>
        <v>Moletom</v>
      </c>
      <c r="G5" s="3">
        <f>IFERROR(VLOOKUP(tblVendas[[#This Row],[id_produto]], tblProdutos[], 4, 0), "Produto não cadastrado")</f>
        <v>75</v>
      </c>
      <c r="H5" s="6" t="str">
        <f>IFERROR(VLOOKUP(tblVendas[[#This Row],[id_produto]], tblProdutos[], 3, 0), "Produto não cadastrado")</f>
        <v>Calçados</v>
      </c>
      <c r="I5" s="3">
        <f>tblVendas[[#This Row],[quantidade]]*tblVendas[[#This Row],[preco_unitario]]</f>
        <v>450</v>
      </c>
      <c r="J5" t="str">
        <f>_xlfn.XLOOKUP(tblVendas[[#This Row],[id_produto]], tblProdutos[id_produto], tblProdutos[nome_produto], "Não encontrado")</f>
        <v>Moletom</v>
      </c>
      <c r="K5" t="str">
        <f>_xlfn.XLOOKUP(tblVendas[[#This Row],[vendedor]], tblVendedores[vendedor], tblVendedores[regiao], "Não encontrado")</f>
        <v>Norte</v>
      </c>
      <c r="L5">
        <f>MATCH(tblVendas[[#This Row],[id_produto]], tblProdutos[id_produto])</f>
        <v>5</v>
      </c>
      <c r="M5" s="2" t="str" cm="1">
        <f t="array" ref="M5">INDEX(tblProdutos[nome_produto], tblVendas[[#This Row],[posicao]])</f>
        <v>Moletom</v>
      </c>
      <c r="N5" s="2" t="str">
        <f>INDEX(tblProdutos[nome_produto], MATCH(tblVendas[[#This Row],[id_produto]], tblProdutos[id_produto]))</f>
        <v>Moletom</v>
      </c>
      <c r="P5" t="s">
        <v>34</v>
      </c>
      <c r="Q5">
        <f>SUMIF(tblVendas[regiao_vendedor], P5, tblVendas[valor_total])</f>
        <v>26555</v>
      </c>
    </row>
    <row r="6" spans="1:17" x14ac:dyDescent="0.25">
      <c r="A6">
        <v>5</v>
      </c>
      <c r="B6">
        <v>7</v>
      </c>
      <c r="C6">
        <v>3</v>
      </c>
      <c r="D6" s="1">
        <v>45296</v>
      </c>
      <c r="E6" s="2" t="s">
        <v>5</v>
      </c>
      <c r="F6" t="str">
        <f>IFERROR(VLOOKUP(tblVendas[[#This Row],[id_produto]], tblProdutos[], 2, 0), "Produto não cadastrado")</f>
        <v>Jaqueta</v>
      </c>
      <c r="G6" s="3">
        <f>IFERROR(VLOOKUP(tblVendas[[#This Row],[id_produto]], tblProdutos[], 4, 0), "Produto não cadastrado")</f>
        <v>163</v>
      </c>
      <c r="H6" s="6" t="str">
        <f>IFERROR(VLOOKUP(tblVendas[[#This Row],[id_produto]], tblProdutos[], 3, 0), "Produto não cadastrado")</f>
        <v>Calçados</v>
      </c>
      <c r="I6" s="3">
        <f>tblVendas[[#This Row],[quantidade]]*tblVendas[[#This Row],[preco_unitario]]</f>
        <v>489</v>
      </c>
      <c r="J6" t="str">
        <f>_xlfn.XLOOKUP(tblVendas[[#This Row],[id_produto]], tblProdutos[id_produto], tblProdutos[nome_produto], "Não encontrado")</f>
        <v>Jaqueta</v>
      </c>
      <c r="K6" t="str">
        <f>_xlfn.XLOOKUP(tblVendas[[#This Row],[vendedor]], tblVendedores[vendedor], tblVendedores[regiao], "Não encontrado")</f>
        <v>Sudeste</v>
      </c>
      <c r="L6">
        <f>MATCH(tblVendas[[#This Row],[id_produto]], tblProdutos[id_produto])</f>
        <v>7</v>
      </c>
      <c r="M6" s="2" t="str" cm="1">
        <f t="array" ref="M6">INDEX(tblProdutos[nome_produto], tblVendas[[#This Row],[posicao]])</f>
        <v>Jaqueta</v>
      </c>
      <c r="N6" s="2" t="str">
        <f>INDEX(tblProdutos[nome_produto], MATCH(tblVendas[[#This Row],[id_produto]], tblProdutos[id_produto]))</f>
        <v>Jaqueta</v>
      </c>
      <c r="P6" t="s">
        <v>31</v>
      </c>
      <c r="Q6">
        <f>SUMIF(tblVendas[regiao_vendedor], P6, tblVendas[valor_total])</f>
        <v>24465</v>
      </c>
    </row>
    <row r="7" spans="1:17" x14ac:dyDescent="0.25">
      <c r="A7">
        <v>6</v>
      </c>
      <c r="B7">
        <v>10</v>
      </c>
      <c r="C7">
        <v>4</v>
      </c>
      <c r="D7" s="1">
        <v>45297</v>
      </c>
      <c r="E7" s="2" t="s">
        <v>7</v>
      </c>
      <c r="F7" t="str">
        <f>IFERROR(VLOOKUP(tblVendas[[#This Row],[id_produto]], tblProdutos[], 2, 0), "Produto não cadastrado")</f>
        <v>Cinto</v>
      </c>
      <c r="G7" s="3">
        <f>IFERROR(VLOOKUP(tblVendas[[#This Row],[id_produto]], tblProdutos[], 4, 0), "Produto não cadastrado")</f>
        <v>76</v>
      </c>
      <c r="H7" s="6" t="str">
        <f>IFERROR(VLOOKUP(tblVendas[[#This Row],[id_produto]], tblProdutos[], 3, 0), "Produto não cadastrado")</f>
        <v>Acessórios</v>
      </c>
      <c r="I7" s="3">
        <f>tblVendas[[#This Row],[quantidade]]*tblVendas[[#This Row],[preco_unitario]]</f>
        <v>304</v>
      </c>
      <c r="J7" t="str">
        <f>_xlfn.XLOOKUP(tblVendas[[#This Row],[id_produto]], tblProdutos[id_produto], tblProdutos[nome_produto], "Não encontrado")</f>
        <v>Cinto</v>
      </c>
      <c r="K7" t="str">
        <f>_xlfn.XLOOKUP(tblVendas[[#This Row],[vendedor]], tblVendedores[vendedor], tblVendedores[regiao], "Não encontrado")</f>
        <v>Norte</v>
      </c>
      <c r="L7">
        <f>MATCH(tblVendas[[#This Row],[id_produto]], tblProdutos[id_produto])</f>
        <v>10</v>
      </c>
      <c r="M7" s="2" t="str" cm="1">
        <f t="array" ref="M7">INDEX(tblProdutos[nome_produto], tblVendas[[#This Row],[posicao]])</f>
        <v>Cinto</v>
      </c>
      <c r="N7" s="2" t="str">
        <f>INDEX(tblProdutos[nome_produto], MATCH(tblVendas[[#This Row],[id_produto]], tblProdutos[id_produto]))</f>
        <v>Cinto</v>
      </c>
      <c r="P7" t="s">
        <v>30</v>
      </c>
      <c r="Q7">
        <f>SUMIF(tblVendas[regiao_vendedor], P7, tblVendas[valor_total])</f>
        <v>27791</v>
      </c>
    </row>
    <row r="8" spans="1:17" x14ac:dyDescent="0.25">
      <c r="A8">
        <v>7</v>
      </c>
      <c r="B8">
        <v>3</v>
      </c>
      <c r="C8">
        <v>4</v>
      </c>
      <c r="D8" s="1">
        <v>45298</v>
      </c>
      <c r="E8" s="2" t="s">
        <v>5</v>
      </c>
      <c r="F8" t="str">
        <f>IFERROR(VLOOKUP(tblVendas[[#This Row],[id_produto]], tblProdutos[], 2, 0), "Produto não cadastrado")</f>
        <v>Tênis</v>
      </c>
      <c r="G8" s="3">
        <f>IFERROR(VLOOKUP(tblVendas[[#This Row],[id_produto]], tblProdutos[], 4, 0), "Produto não cadastrado")</f>
        <v>186</v>
      </c>
      <c r="H8" s="6" t="str">
        <f>IFERROR(VLOOKUP(tblVendas[[#This Row],[id_produto]], tblProdutos[], 3, 0), "Produto não cadastrado")</f>
        <v>Vestuário</v>
      </c>
      <c r="I8" s="3">
        <f>tblVendas[[#This Row],[quantidade]]*tblVendas[[#This Row],[preco_unitario]]</f>
        <v>744</v>
      </c>
      <c r="J8" t="str">
        <f>_xlfn.XLOOKUP(tblVendas[[#This Row],[id_produto]], tblProdutos[id_produto], tblProdutos[nome_produto], "Não encontrado")</f>
        <v>Tênis</v>
      </c>
      <c r="K8" t="str">
        <f>_xlfn.XLOOKUP(tblVendas[[#This Row],[vendedor]], tblVendedores[vendedor], tblVendedores[regiao], "Não encontrado")</f>
        <v>Sudeste</v>
      </c>
      <c r="L8">
        <f>MATCH(tblVendas[[#This Row],[id_produto]], tblProdutos[id_produto])</f>
        <v>3</v>
      </c>
      <c r="M8" s="2" t="str" cm="1">
        <f t="array" ref="M8">INDEX(tblProdutos[nome_produto], tblVendas[[#This Row],[posicao]])</f>
        <v>Tênis</v>
      </c>
      <c r="N8" s="2" t="str">
        <f>INDEX(tblProdutos[nome_produto], MATCH(tblVendas[[#This Row],[id_produto]], tblProdutos[id_produto]))</f>
        <v>Tênis</v>
      </c>
    </row>
    <row r="9" spans="1:17" x14ac:dyDescent="0.25">
      <c r="A9">
        <v>8</v>
      </c>
      <c r="B9">
        <v>7</v>
      </c>
      <c r="C9">
        <v>3</v>
      </c>
      <c r="D9" s="1">
        <v>45299</v>
      </c>
      <c r="E9" s="2" t="s">
        <v>5</v>
      </c>
      <c r="F9" t="str">
        <f>IFERROR(VLOOKUP(tblVendas[[#This Row],[id_produto]], tblProdutos[], 2, 0), "Produto não cadastrado")</f>
        <v>Jaqueta</v>
      </c>
      <c r="G9" s="3">
        <f>IFERROR(VLOOKUP(tblVendas[[#This Row],[id_produto]], tblProdutos[], 4, 0), "Produto não cadastrado")</f>
        <v>163</v>
      </c>
      <c r="H9" s="6" t="str">
        <f>IFERROR(VLOOKUP(tblVendas[[#This Row],[id_produto]], tblProdutos[], 3, 0), "Produto não cadastrado")</f>
        <v>Calçados</v>
      </c>
      <c r="I9" s="3">
        <f>tblVendas[[#This Row],[quantidade]]*tblVendas[[#This Row],[preco_unitario]]</f>
        <v>489</v>
      </c>
      <c r="J9" t="str">
        <f>_xlfn.XLOOKUP(tblVendas[[#This Row],[id_produto]], tblProdutos[id_produto], tblProdutos[nome_produto], "Não encontrado")</f>
        <v>Jaqueta</v>
      </c>
      <c r="K9" t="str">
        <f>_xlfn.XLOOKUP(tblVendas[[#This Row],[vendedor]], tblVendedores[vendedor], tblVendedores[regiao], "Não encontrado")</f>
        <v>Sudeste</v>
      </c>
      <c r="L9">
        <f>MATCH(tblVendas[[#This Row],[id_produto]], tblProdutos[id_produto])</f>
        <v>7</v>
      </c>
      <c r="M9" s="2" t="str" cm="1">
        <f t="array" ref="M9">INDEX(tblProdutos[nome_produto], tblVendas[[#This Row],[posicao]])</f>
        <v>Jaqueta</v>
      </c>
      <c r="N9" s="2" t="str">
        <f>INDEX(tblProdutos[nome_produto], MATCH(tblVendas[[#This Row],[id_produto]], tblProdutos[id_produto]))</f>
        <v>Jaqueta</v>
      </c>
    </row>
    <row r="10" spans="1:17" x14ac:dyDescent="0.25">
      <c r="A10">
        <v>9</v>
      </c>
      <c r="B10">
        <v>8</v>
      </c>
      <c r="C10">
        <v>3</v>
      </c>
      <c r="D10" s="1">
        <v>45300</v>
      </c>
      <c r="E10" s="2" t="s">
        <v>8</v>
      </c>
      <c r="F10" t="str">
        <f>IFERROR(VLOOKUP(tblVendas[[#This Row],[id_produto]], tblProdutos[], 2, 0), "Produto não cadastrado")</f>
        <v>Regata</v>
      </c>
      <c r="G10" s="3">
        <f>IFERROR(VLOOKUP(tblVendas[[#This Row],[id_produto]], tblProdutos[], 4, 0), "Produto não cadastrado")</f>
        <v>111</v>
      </c>
      <c r="H10" s="6" t="str">
        <f>IFERROR(VLOOKUP(tblVendas[[#This Row],[id_produto]], tblProdutos[], 3, 0), "Produto não cadastrado")</f>
        <v>Vestuário</v>
      </c>
      <c r="I10" s="3">
        <f>tblVendas[[#This Row],[quantidade]]*tblVendas[[#This Row],[preco_unitario]]</f>
        <v>333</v>
      </c>
      <c r="J10" t="str">
        <f>_xlfn.XLOOKUP(tblVendas[[#This Row],[id_produto]], tblProdutos[id_produto], tblProdutos[nome_produto], "Não encontrado")</f>
        <v>Regata</v>
      </c>
      <c r="K10" t="str">
        <f>_xlfn.XLOOKUP(tblVendas[[#This Row],[vendedor]], tblVendedores[vendedor], tblVendedores[regiao], "Não encontrado")</f>
        <v>Nordeste</v>
      </c>
      <c r="L10">
        <f>MATCH(tblVendas[[#This Row],[id_produto]], tblProdutos[id_produto])</f>
        <v>8</v>
      </c>
      <c r="M10" s="2" t="str" cm="1">
        <f t="array" ref="M10">INDEX(tblProdutos[nome_produto], tblVendas[[#This Row],[posicao]])</f>
        <v>Regata</v>
      </c>
      <c r="N10" s="2" t="str">
        <f>INDEX(tblProdutos[nome_produto], MATCH(tblVendas[[#This Row],[id_produto]], tblProdutos[id_produto]))</f>
        <v>Regata</v>
      </c>
    </row>
    <row r="11" spans="1:17" x14ac:dyDescent="0.25">
      <c r="A11">
        <v>10</v>
      </c>
      <c r="B11">
        <v>5</v>
      </c>
      <c r="C11">
        <v>3</v>
      </c>
      <c r="D11" s="1">
        <v>45301</v>
      </c>
      <c r="E11" s="2" t="s">
        <v>5</v>
      </c>
      <c r="F11" t="str">
        <f>IFERROR(VLOOKUP(tblVendas[[#This Row],[id_produto]], tblProdutos[], 2, 0), "Produto não cadastrado")</f>
        <v>Moletom</v>
      </c>
      <c r="G11" s="3">
        <f>IFERROR(VLOOKUP(tblVendas[[#This Row],[id_produto]], tblProdutos[], 4, 0), "Produto não cadastrado")</f>
        <v>75</v>
      </c>
      <c r="H11" s="6" t="str">
        <f>IFERROR(VLOOKUP(tblVendas[[#This Row],[id_produto]], tblProdutos[], 3, 0), "Produto não cadastrado")</f>
        <v>Calçados</v>
      </c>
      <c r="I11" s="3">
        <f>tblVendas[[#This Row],[quantidade]]*tblVendas[[#This Row],[preco_unitario]]</f>
        <v>225</v>
      </c>
      <c r="J11" t="str">
        <f>_xlfn.XLOOKUP(tblVendas[[#This Row],[id_produto]], tblProdutos[id_produto], tblProdutos[nome_produto], "Não encontrado")</f>
        <v>Moletom</v>
      </c>
      <c r="K11" t="str">
        <f>_xlfn.XLOOKUP(tblVendas[[#This Row],[vendedor]], tblVendedores[vendedor], tblVendedores[regiao], "Não encontrado")</f>
        <v>Sudeste</v>
      </c>
      <c r="L11">
        <f>MATCH(tblVendas[[#This Row],[id_produto]], tblProdutos[id_produto])</f>
        <v>5</v>
      </c>
      <c r="M11" s="2" t="str" cm="1">
        <f t="array" ref="M11">INDEX(tblProdutos[nome_produto], tblVendas[[#This Row],[posicao]])</f>
        <v>Moletom</v>
      </c>
      <c r="N11" s="2" t="str">
        <f>INDEX(tblProdutos[nome_produto], MATCH(tblVendas[[#This Row],[id_produto]], tblProdutos[id_produto]))</f>
        <v>Moletom</v>
      </c>
    </row>
    <row r="12" spans="1:17" x14ac:dyDescent="0.25">
      <c r="A12">
        <v>11</v>
      </c>
      <c r="B12">
        <v>4</v>
      </c>
      <c r="C12">
        <v>4</v>
      </c>
      <c r="D12" s="1">
        <v>45302</v>
      </c>
      <c r="E12" s="2" t="s">
        <v>9</v>
      </c>
      <c r="F12" t="str">
        <f>IFERROR(VLOOKUP(tblVendas[[#This Row],[id_produto]], tblProdutos[], 2, 0), "Produto não cadastrado")</f>
        <v>Boné</v>
      </c>
      <c r="G12" s="3">
        <f>IFERROR(VLOOKUP(tblVendas[[#This Row],[id_produto]], tblProdutos[], 4, 0), "Produto não cadastrado")</f>
        <v>170</v>
      </c>
      <c r="H12" s="6" t="str">
        <f>IFERROR(VLOOKUP(tblVendas[[#This Row],[id_produto]], tblProdutos[], 3, 0), "Produto não cadastrado")</f>
        <v>Calçados</v>
      </c>
      <c r="I12" s="3">
        <f>tblVendas[[#This Row],[quantidade]]*tblVendas[[#This Row],[preco_unitario]]</f>
        <v>680</v>
      </c>
      <c r="J12" t="str">
        <f>_xlfn.XLOOKUP(tblVendas[[#This Row],[id_produto]], tblProdutos[id_produto], tblProdutos[nome_produto], "Não encontrado")</f>
        <v>Boné</v>
      </c>
      <c r="K12" t="str">
        <f>_xlfn.XLOOKUP(tblVendas[[#This Row],[vendedor]], tblVendedores[vendedor], tblVendedores[regiao], "Não encontrado")</f>
        <v>Sul</v>
      </c>
      <c r="L12">
        <f>MATCH(tblVendas[[#This Row],[id_produto]], tblProdutos[id_produto])</f>
        <v>4</v>
      </c>
      <c r="M12" s="2" t="str" cm="1">
        <f t="array" ref="M12">INDEX(tblProdutos[nome_produto], tblVendas[[#This Row],[posicao]])</f>
        <v>Boné</v>
      </c>
      <c r="N12" s="2" t="str">
        <f>INDEX(tblProdutos[nome_produto], MATCH(tblVendas[[#This Row],[id_produto]], tblProdutos[id_produto]))</f>
        <v>Boné</v>
      </c>
    </row>
    <row r="13" spans="1:17" x14ac:dyDescent="0.25">
      <c r="A13">
        <v>12</v>
      </c>
      <c r="B13">
        <v>8</v>
      </c>
      <c r="C13">
        <v>7</v>
      </c>
      <c r="D13" s="1">
        <v>45303</v>
      </c>
      <c r="E13" s="2" t="s">
        <v>6</v>
      </c>
      <c r="F13" t="str">
        <f>IFERROR(VLOOKUP(tblVendas[[#This Row],[id_produto]], tblProdutos[], 2, 0), "Produto não cadastrado")</f>
        <v>Regata</v>
      </c>
      <c r="G13" s="3">
        <f>IFERROR(VLOOKUP(tblVendas[[#This Row],[id_produto]], tblProdutos[], 4, 0), "Produto não cadastrado")</f>
        <v>111</v>
      </c>
      <c r="H13" s="6" t="str">
        <f>IFERROR(VLOOKUP(tblVendas[[#This Row],[id_produto]], tblProdutos[], 3, 0), "Produto não cadastrado")</f>
        <v>Vestuário</v>
      </c>
      <c r="I13" s="3">
        <f>tblVendas[[#This Row],[quantidade]]*tblVendas[[#This Row],[preco_unitario]]</f>
        <v>777</v>
      </c>
      <c r="J13" t="str">
        <f>_xlfn.XLOOKUP(tblVendas[[#This Row],[id_produto]], tblProdutos[id_produto], tblProdutos[nome_produto], "Não encontrado")</f>
        <v>Regata</v>
      </c>
      <c r="K13" t="str">
        <f>_xlfn.XLOOKUP(tblVendas[[#This Row],[vendedor]], tblVendedores[vendedor], tblVendedores[regiao], "Não encontrado")</f>
        <v>Centro-Oeste</v>
      </c>
      <c r="L13">
        <f>MATCH(tblVendas[[#This Row],[id_produto]], tblProdutos[id_produto])</f>
        <v>8</v>
      </c>
      <c r="M13" s="2" t="str" cm="1">
        <f t="array" ref="M13">INDEX(tblProdutos[nome_produto], tblVendas[[#This Row],[posicao]])</f>
        <v>Regata</v>
      </c>
      <c r="N13" s="2" t="str">
        <f>INDEX(tblProdutos[nome_produto], MATCH(tblVendas[[#This Row],[id_produto]], tblProdutos[id_produto]))</f>
        <v>Regata</v>
      </c>
    </row>
    <row r="14" spans="1:17" x14ac:dyDescent="0.25">
      <c r="A14">
        <v>13</v>
      </c>
      <c r="B14">
        <v>8</v>
      </c>
      <c r="C14">
        <v>4</v>
      </c>
      <c r="D14" s="1">
        <v>45304</v>
      </c>
      <c r="E14" s="2" t="s">
        <v>6</v>
      </c>
      <c r="F14" t="str">
        <f>IFERROR(VLOOKUP(tblVendas[[#This Row],[id_produto]], tblProdutos[], 2, 0), "Produto não cadastrado")</f>
        <v>Regata</v>
      </c>
      <c r="G14" s="3">
        <f>IFERROR(VLOOKUP(tblVendas[[#This Row],[id_produto]], tblProdutos[], 4, 0), "Produto não cadastrado")</f>
        <v>111</v>
      </c>
      <c r="H14" s="6" t="str">
        <f>IFERROR(VLOOKUP(tblVendas[[#This Row],[id_produto]], tblProdutos[], 3, 0), "Produto não cadastrado")</f>
        <v>Vestuário</v>
      </c>
      <c r="I14" s="3">
        <f>tblVendas[[#This Row],[quantidade]]*tblVendas[[#This Row],[preco_unitario]]</f>
        <v>444</v>
      </c>
      <c r="J14" t="str">
        <f>_xlfn.XLOOKUP(tblVendas[[#This Row],[id_produto]], tblProdutos[id_produto], tblProdutos[nome_produto], "Não encontrado")</f>
        <v>Regata</v>
      </c>
      <c r="K14" t="str">
        <f>_xlfn.XLOOKUP(tblVendas[[#This Row],[vendedor]], tblVendedores[vendedor], tblVendedores[regiao], "Não encontrado")</f>
        <v>Centro-Oeste</v>
      </c>
      <c r="L14">
        <f>MATCH(tblVendas[[#This Row],[id_produto]], tblProdutos[id_produto])</f>
        <v>8</v>
      </c>
      <c r="M14" s="2" t="str" cm="1">
        <f t="array" ref="M14">INDEX(tblProdutos[nome_produto], tblVendas[[#This Row],[posicao]])</f>
        <v>Regata</v>
      </c>
      <c r="N14" s="2" t="str">
        <f>INDEX(tblProdutos[nome_produto], MATCH(tblVendas[[#This Row],[id_produto]], tblProdutos[id_produto]))</f>
        <v>Regata</v>
      </c>
    </row>
    <row r="15" spans="1:17" x14ac:dyDescent="0.25">
      <c r="A15">
        <v>14</v>
      </c>
      <c r="B15">
        <v>3</v>
      </c>
      <c r="C15">
        <v>9</v>
      </c>
      <c r="D15" s="1">
        <v>45305</v>
      </c>
      <c r="E15" s="2" t="s">
        <v>7</v>
      </c>
      <c r="F15" t="str">
        <f>IFERROR(VLOOKUP(tblVendas[[#This Row],[id_produto]], tblProdutos[], 2, 0), "Produto não cadastrado")</f>
        <v>Tênis</v>
      </c>
      <c r="G15" s="3">
        <f>IFERROR(VLOOKUP(tblVendas[[#This Row],[id_produto]], tblProdutos[], 4, 0), "Produto não cadastrado")</f>
        <v>186</v>
      </c>
      <c r="H15" s="6" t="str">
        <f>IFERROR(VLOOKUP(tblVendas[[#This Row],[id_produto]], tblProdutos[], 3, 0), "Produto não cadastrado")</f>
        <v>Vestuário</v>
      </c>
      <c r="I15" s="3">
        <f>tblVendas[[#This Row],[quantidade]]*tblVendas[[#This Row],[preco_unitario]]</f>
        <v>1674</v>
      </c>
      <c r="J15" t="str">
        <f>_xlfn.XLOOKUP(tblVendas[[#This Row],[id_produto]], tblProdutos[id_produto], tblProdutos[nome_produto], "Não encontrado")</f>
        <v>Tênis</v>
      </c>
      <c r="K15" t="str">
        <f>_xlfn.XLOOKUP(tblVendas[[#This Row],[vendedor]], tblVendedores[vendedor], tblVendedores[regiao], "Não encontrado")</f>
        <v>Norte</v>
      </c>
      <c r="L15">
        <f>MATCH(tblVendas[[#This Row],[id_produto]], tblProdutos[id_produto])</f>
        <v>3</v>
      </c>
      <c r="M15" s="2" t="str" cm="1">
        <f t="array" ref="M15">INDEX(tblProdutos[nome_produto], tblVendas[[#This Row],[posicao]])</f>
        <v>Tênis</v>
      </c>
      <c r="N15" s="2" t="str">
        <f>INDEX(tblProdutos[nome_produto], MATCH(tblVendas[[#This Row],[id_produto]], tblProdutos[id_produto]))</f>
        <v>Tênis</v>
      </c>
    </row>
    <row r="16" spans="1:17" x14ac:dyDescent="0.25">
      <c r="A16">
        <v>15</v>
      </c>
      <c r="B16">
        <v>6</v>
      </c>
      <c r="C16">
        <v>1</v>
      </c>
      <c r="D16" s="1">
        <v>45306</v>
      </c>
      <c r="E16" s="2" t="s">
        <v>5</v>
      </c>
      <c r="F16" t="str">
        <f>IFERROR(VLOOKUP(tblVendas[[#This Row],[id_produto]], tblProdutos[], 2, 0), "Produto não cadastrado")</f>
        <v>Bermuda</v>
      </c>
      <c r="G16" s="3">
        <f>IFERROR(VLOOKUP(tblVendas[[#This Row],[id_produto]], tblProdutos[], 4, 0), "Produto não cadastrado")</f>
        <v>64</v>
      </c>
      <c r="H16" s="6" t="str">
        <f>IFERROR(VLOOKUP(tblVendas[[#This Row],[id_produto]], tblProdutos[], 3, 0), "Produto não cadastrado")</f>
        <v>Calçados</v>
      </c>
      <c r="I16" s="3">
        <f>tblVendas[[#This Row],[quantidade]]*tblVendas[[#This Row],[preco_unitario]]</f>
        <v>64</v>
      </c>
      <c r="J16" t="str">
        <f>_xlfn.XLOOKUP(tblVendas[[#This Row],[id_produto]], tblProdutos[id_produto], tblProdutos[nome_produto], "Não encontrado")</f>
        <v>Bermuda</v>
      </c>
      <c r="K16" t="str">
        <f>_xlfn.XLOOKUP(tblVendas[[#This Row],[vendedor]], tblVendedores[vendedor], tblVendedores[regiao], "Não encontrado")</f>
        <v>Sudeste</v>
      </c>
      <c r="L16">
        <f>MATCH(tblVendas[[#This Row],[id_produto]], tblProdutos[id_produto])</f>
        <v>6</v>
      </c>
      <c r="M16" s="2" t="str" cm="1">
        <f t="array" ref="M16">INDEX(tblProdutos[nome_produto], tblVendas[[#This Row],[posicao]])</f>
        <v>Bermuda</v>
      </c>
      <c r="N16" s="2" t="str">
        <f>INDEX(tblProdutos[nome_produto], MATCH(tblVendas[[#This Row],[id_produto]], tblProdutos[id_produto]))</f>
        <v>Bermuda</v>
      </c>
    </row>
    <row r="17" spans="1:14" x14ac:dyDescent="0.25">
      <c r="A17">
        <v>16</v>
      </c>
      <c r="B17">
        <v>5</v>
      </c>
      <c r="C17">
        <v>8</v>
      </c>
      <c r="D17" s="1">
        <v>45307</v>
      </c>
      <c r="E17" s="2" t="s">
        <v>9</v>
      </c>
      <c r="F17" t="str">
        <f>IFERROR(VLOOKUP(tblVendas[[#This Row],[id_produto]], tblProdutos[], 2, 0), "Produto não cadastrado")</f>
        <v>Moletom</v>
      </c>
      <c r="G17" s="3">
        <f>IFERROR(VLOOKUP(tblVendas[[#This Row],[id_produto]], tblProdutos[], 4, 0), "Produto não cadastrado")</f>
        <v>75</v>
      </c>
      <c r="H17" s="6" t="str">
        <f>IFERROR(VLOOKUP(tblVendas[[#This Row],[id_produto]], tblProdutos[], 3, 0), "Produto não cadastrado")</f>
        <v>Calçados</v>
      </c>
      <c r="I17" s="3">
        <f>tblVendas[[#This Row],[quantidade]]*tblVendas[[#This Row],[preco_unitario]]</f>
        <v>600</v>
      </c>
      <c r="J17" t="str">
        <f>_xlfn.XLOOKUP(tblVendas[[#This Row],[id_produto]], tblProdutos[id_produto], tblProdutos[nome_produto], "Não encontrado")</f>
        <v>Moletom</v>
      </c>
      <c r="K17" t="str">
        <f>_xlfn.XLOOKUP(tblVendas[[#This Row],[vendedor]], tblVendedores[vendedor], tblVendedores[regiao], "Não encontrado")</f>
        <v>Sul</v>
      </c>
      <c r="L17">
        <f>MATCH(tblVendas[[#This Row],[id_produto]], tblProdutos[id_produto])</f>
        <v>5</v>
      </c>
      <c r="M17" s="2" t="str" cm="1">
        <f t="array" ref="M17">INDEX(tblProdutos[nome_produto], tblVendas[[#This Row],[posicao]])</f>
        <v>Moletom</v>
      </c>
      <c r="N17" s="2" t="str">
        <f>INDEX(tblProdutos[nome_produto], MATCH(tblVendas[[#This Row],[id_produto]], tblProdutos[id_produto]))</f>
        <v>Moletom</v>
      </c>
    </row>
    <row r="18" spans="1:14" x14ac:dyDescent="0.25">
      <c r="A18">
        <v>17</v>
      </c>
      <c r="B18">
        <v>2</v>
      </c>
      <c r="C18">
        <v>7</v>
      </c>
      <c r="D18" s="1">
        <v>45308</v>
      </c>
      <c r="E18" s="2" t="s">
        <v>7</v>
      </c>
      <c r="F18" t="str">
        <f>IFERROR(VLOOKUP(tblVendas[[#This Row],[id_produto]], tblProdutos[], 2, 0), "Produto não cadastrado")</f>
        <v>Calça Jeans</v>
      </c>
      <c r="G18" s="3">
        <f>IFERROR(VLOOKUP(tblVendas[[#This Row],[id_produto]], tblProdutos[], 4, 0), "Produto não cadastrado")</f>
        <v>190</v>
      </c>
      <c r="H18" s="6" t="str">
        <f>IFERROR(VLOOKUP(tblVendas[[#This Row],[id_produto]], tblProdutos[], 3, 0), "Produto não cadastrado")</f>
        <v>Calçados</v>
      </c>
      <c r="I18" s="3">
        <f>tblVendas[[#This Row],[quantidade]]*tblVendas[[#This Row],[preco_unitario]]</f>
        <v>1330</v>
      </c>
      <c r="J18" t="str">
        <f>_xlfn.XLOOKUP(tblVendas[[#This Row],[id_produto]], tblProdutos[id_produto], tblProdutos[nome_produto], "Não encontrado")</f>
        <v>Calça Jeans</v>
      </c>
      <c r="K18" t="str">
        <f>_xlfn.XLOOKUP(tblVendas[[#This Row],[vendedor]], tblVendedores[vendedor], tblVendedores[regiao], "Não encontrado")</f>
        <v>Norte</v>
      </c>
      <c r="L18">
        <f>MATCH(tblVendas[[#This Row],[id_produto]], tblProdutos[id_produto])</f>
        <v>2</v>
      </c>
      <c r="M18" s="2" t="str" cm="1">
        <f t="array" ref="M18">INDEX(tblProdutos[nome_produto], tblVendas[[#This Row],[posicao]])</f>
        <v>Calça Jeans</v>
      </c>
      <c r="N18" s="2" t="str">
        <f>INDEX(tblProdutos[nome_produto], MATCH(tblVendas[[#This Row],[id_produto]], tblProdutos[id_produto]))</f>
        <v>Calça Jeans</v>
      </c>
    </row>
    <row r="19" spans="1:14" x14ac:dyDescent="0.25">
      <c r="A19">
        <v>18</v>
      </c>
      <c r="B19">
        <v>8</v>
      </c>
      <c r="C19">
        <v>2</v>
      </c>
      <c r="D19" s="1">
        <v>45309</v>
      </c>
      <c r="E19" s="2" t="s">
        <v>8</v>
      </c>
      <c r="F19" t="str">
        <f>IFERROR(VLOOKUP(tblVendas[[#This Row],[id_produto]], tblProdutos[], 2, 0), "Produto não cadastrado")</f>
        <v>Regata</v>
      </c>
      <c r="G19" s="3">
        <f>IFERROR(VLOOKUP(tblVendas[[#This Row],[id_produto]], tblProdutos[], 4, 0), "Produto não cadastrado")</f>
        <v>111</v>
      </c>
      <c r="H19" s="6" t="str">
        <f>IFERROR(VLOOKUP(tblVendas[[#This Row],[id_produto]], tblProdutos[], 3, 0), "Produto não cadastrado")</f>
        <v>Vestuário</v>
      </c>
      <c r="I19" s="3">
        <f>tblVendas[[#This Row],[quantidade]]*tblVendas[[#This Row],[preco_unitario]]</f>
        <v>222</v>
      </c>
      <c r="J19" t="str">
        <f>_xlfn.XLOOKUP(tblVendas[[#This Row],[id_produto]], tblProdutos[id_produto], tblProdutos[nome_produto], "Não encontrado")</f>
        <v>Regata</v>
      </c>
      <c r="K19" t="str">
        <f>_xlfn.XLOOKUP(tblVendas[[#This Row],[vendedor]], tblVendedores[vendedor], tblVendedores[regiao], "Não encontrado")</f>
        <v>Nordeste</v>
      </c>
      <c r="L19">
        <f>MATCH(tblVendas[[#This Row],[id_produto]], tblProdutos[id_produto])</f>
        <v>8</v>
      </c>
      <c r="M19" s="2" t="str" cm="1">
        <f t="array" ref="M19">INDEX(tblProdutos[nome_produto], tblVendas[[#This Row],[posicao]])</f>
        <v>Regata</v>
      </c>
      <c r="N19" s="2" t="str">
        <f>INDEX(tblProdutos[nome_produto], MATCH(tblVendas[[#This Row],[id_produto]], tblProdutos[id_produto]))</f>
        <v>Regata</v>
      </c>
    </row>
    <row r="20" spans="1:14" x14ac:dyDescent="0.25">
      <c r="A20">
        <v>19</v>
      </c>
      <c r="B20">
        <v>6</v>
      </c>
      <c r="C20">
        <v>8</v>
      </c>
      <c r="D20" s="1">
        <v>45310</v>
      </c>
      <c r="E20" s="2" t="s">
        <v>7</v>
      </c>
      <c r="F20" t="str">
        <f>IFERROR(VLOOKUP(tblVendas[[#This Row],[id_produto]], tblProdutos[], 2, 0), "Produto não cadastrado")</f>
        <v>Bermuda</v>
      </c>
      <c r="G20" s="3">
        <f>IFERROR(VLOOKUP(tblVendas[[#This Row],[id_produto]], tblProdutos[], 4, 0), "Produto não cadastrado")</f>
        <v>64</v>
      </c>
      <c r="H20" s="6" t="str">
        <f>IFERROR(VLOOKUP(tblVendas[[#This Row],[id_produto]], tblProdutos[], 3, 0), "Produto não cadastrado")</f>
        <v>Calçados</v>
      </c>
      <c r="I20" s="3">
        <f>tblVendas[[#This Row],[quantidade]]*tblVendas[[#This Row],[preco_unitario]]</f>
        <v>512</v>
      </c>
      <c r="J20" t="str">
        <f>_xlfn.XLOOKUP(tblVendas[[#This Row],[id_produto]], tblProdutos[id_produto], tblProdutos[nome_produto], "Não encontrado")</f>
        <v>Bermuda</v>
      </c>
      <c r="K20" t="str">
        <f>_xlfn.XLOOKUP(tblVendas[[#This Row],[vendedor]], tblVendedores[vendedor], tblVendedores[regiao], "Não encontrado")</f>
        <v>Norte</v>
      </c>
      <c r="L20">
        <f>MATCH(tblVendas[[#This Row],[id_produto]], tblProdutos[id_produto])</f>
        <v>6</v>
      </c>
      <c r="M20" s="2" t="str" cm="1">
        <f t="array" ref="M20">INDEX(tblProdutos[nome_produto], tblVendas[[#This Row],[posicao]])</f>
        <v>Bermuda</v>
      </c>
      <c r="N20" s="2" t="str">
        <f>INDEX(tblProdutos[nome_produto], MATCH(tblVendas[[#This Row],[id_produto]], tblProdutos[id_produto]))</f>
        <v>Bermuda</v>
      </c>
    </row>
    <row r="21" spans="1:14" x14ac:dyDescent="0.25">
      <c r="A21">
        <v>20</v>
      </c>
      <c r="B21">
        <v>2</v>
      </c>
      <c r="C21">
        <v>1</v>
      </c>
      <c r="D21" s="1">
        <v>45311</v>
      </c>
      <c r="E21" s="2" t="s">
        <v>7</v>
      </c>
      <c r="F21" t="str">
        <f>IFERROR(VLOOKUP(tblVendas[[#This Row],[id_produto]], tblProdutos[], 2, 0), "Produto não cadastrado")</f>
        <v>Calça Jeans</v>
      </c>
      <c r="G21" s="3">
        <f>IFERROR(VLOOKUP(tblVendas[[#This Row],[id_produto]], tblProdutos[], 4, 0), "Produto não cadastrado")</f>
        <v>190</v>
      </c>
      <c r="H21" s="6" t="str">
        <f>IFERROR(VLOOKUP(tblVendas[[#This Row],[id_produto]], tblProdutos[], 3, 0), "Produto não cadastrado")</f>
        <v>Calçados</v>
      </c>
      <c r="I21" s="3">
        <f>tblVendas[[#This Row],[quantidade]]*tblVendas[[#This Row],[preco_unitario]]</f>
        <v>190</v>
      </c>
      <c r="J21" t="str">
        <f>_xlfn.XLOOKUP(tblVendas[[#This Row],[id_produto]], tblProdutos[id_produto], tblProdutos[nome_produto], "Não encontrado")</f>
        <v>Calça Jeans</v>
      </c>
      <c r="K21" t="str">
        <f>_xlfn.XLOOKUP(tblVendas[[#This Row],[vendedor]], tblVendedores[vendedor], tblVendedores[regiao], "Não encontrado")</f>
        <v>Norte</v>
      </c>
      <c r="L21">
        <f>MATCH(tblVendas[[#This Row],[id_produto]], tblProdutos[id_produto])</f>
        <v>2</v>
      </c>
      <c r="M21" s="2" t="str" cm="1">
        <f t="array" ref="M21">INDEX(tblProdutos[nome_produto], tblVendas[[#This Row],[posicao]])</f>
        <v>Calça Jeans</v>
      </c>
      <c r="N21" s="2" t="str">
        <f>INDEX(tblProdutos[nome_produto], MATCH(tblVendas[[#This Row],[id_produto]], tblProdutos[id_produto]))</f>
        <v>Calça Jeans</v>
      </c>
    </row>
    <row r="22" spans="1:14" x14ac:dyDescent="0.25">
      <c r="A22">
        <v>21</v>
      </c>
      <c r="B22">
        <v>5</v>
      </c>
      <c r="C22">
        <v>9</v>
      </c>
      <c r="D22" s="1">
        <v>45312</v>
      </c>
      <c r="E22" s="2" t="s">
        <v>5</v>
      </c>
      <c r="F22" t="str">
        <f>IFERROR(VLOOKUP(tblVendas[[#This Row],[id_produto]], tblProdutos[], 2, 0), "Produto não cadastrado")</f>
        <v>Moletom</v>
      </c>
      <c r="G22" s="3">
        <f>IFERROR(VLOOKUP(tblVendas[[#This Row],[id_produto]], tblProdutos[], 4, 0), "Produto não cadastrado")</f>
        <v>75</v>
      </c>
      <c r="H22" s="6" t="str">
        <f>IFERROR(VLOOKUP(tblVendas[[#This Row],[id_produto]], tblProdutos[], 3, 0), "Produto não cadastrado")</f>
        <v>Calçados</v>
      </c>
      <c r="I22" s="3">
        <f>tblVendas[[#This Row],[quantidade]]*tblVendas[[#This Row],[preco_unitario]]</f>
        <v>675</v>
      </c>
      <c r="J22" t="str">
        <f>_xlfn.XLOOKUP(tblVendas[[#This Row],[id_produto]], tblProdutos[id_produto], tblProdutos[nome_produto], "Não encontrado")</f>
        <v>Moletom</v>
      </c>
      <c r="K22" t="str">
        <f>_xlfn.XLOOKUP(tblVendas[[#This Row],[vendedor]], tblVendedores[vendedor], tblVendedores[regiao], "Não encontrado")</f>
        <v>Sudeste</v>
      </c>
      <c r="L22">
        <f>MATCH(tblVendas[[#This Row],[id_produto]], tblProdutos[id_produto])</f>
        <v>5</v>
      </c>
      <c r="M22" s="2" t="str" cm="1">
        <f t="array" ref="M22">INDEX(tblProdutos[nome_produto], tblVendas[[#This Row],[posicao]])</f>
        <v>Moletom</v>
      </c>
      <c r="N22" s="2" t="str">
        <f>INDEX(tblProdutos[nome_produto], MATCH(tblVendas[[#This Row],[id_produto]], tblProdutos[id_produto]))</f>
        <v>Moletom</v>
      </c>
    </row>
    <row r="23" spans="1:14" x14ac:dyDescent="0.25">
      <c r="A23">
        <v>22</v>
      </c>
      <c r="B23">
        <v>1</v>
      </c>
      <c r="C23">
        <v>9</v>
      </c>
      <c r="D23" s="1">
        <v>45313</v>
      </c>
      <c r="E23" s="2" t="s">
        <v>8</v>
      </c>
      <c r="F23" t="str">
        <f>IFERROR(VLOOKUP(tblVendas[[#This Row],[id_produto]], tblProdutos[], 2, 0), "Produto não cadastrado")</f>
        <v>Camiseta</v>
      </c>
      <c r="G23" s="3">
        <f>IFERROR(VLOOKUP(tblVendas[[#This Row],[id_produto]], tblProdutos[], 4, 0), "Produto não cadastrado")</f>
        <v>174</v>
      </c>
      <c r="H23" s="6" t="str">
        <f>IFERROR(VLOOKUP(tblVendas[[#This Row],[id_produto]], tblProdutos[], 3, 0), "Produto não cadastrado")</f>
        <v>Calçados</v>
      </c>
      <c r="I23" s="3">
        <f>tblVendas[[#This Row],[quantidade]]*tblVendas[[#This Row],[preco_unitario]]</f>
        <v>1566</v>
      </c>
      <c r="J23" t="str">
        <f>_xlfn.XLOOKUP(tblVendas[[#This Row],[id_produto]], tblProdutos[id_produto], tblProdutos[nome_produto], "Não encontrado")</f>
        <v>Camiseta</v>
      </c>
      <c r="K23" t="str">
        <f>_xlfn.XLOOKUP(tblVendas[[#This Row],[vendedor]], tblVendedores[vendedor], tblVendedores[regiao], "Não encontrado")</f>
        <v>Nordeste</v>
      </c>
      <c r="L23">
        <f>MATCH(tblVendas[[#This Row],[id_produto]], tblProdutos[id_produto])</f>
        <v>1</v>
      </c>
      <c r="M23" s="2" t="str" cm="1">
        <f t="array" ref="M23">INDEX(tblProdutos[nome_produto], tblVendas[[#This Row],[posicao]])</f>
        <v>Camiseta</v>
      </c>
      <c r="N23" s="2" t="str">
        <f>INDEX(tblProdutos[nome_produto], MATCH(tblVendas[[#This Row],[id_produto]], tblProdutos[id_produto]))</f>
        <v>Camiseta</v>
      </c>
    </row>
    <row r="24" spans="1:14" x14ac:dyDescent="0.25">
      <c r="A24">
        <v>23</v>
      </c>
      <c r="B24">
        <v>10</v>
      </c>
      <c r="C24">
        <v>2</v>
      </c>
      <c r="D24" s="1">
        <v>45314</v>
      </c>
      <c r="E24" s="2" t="s">
        <v>7</v>
      </c>
      <c r="F24" t="str">
        <f>IFERROR(VLOOKUP(tblVendas[[#This Row],[id_produto]], tblProdutos[], 2, 0), "Produto não cadastrado")</f>
        <v>Cinto</v>
      </c>
      <c r="G24" s="3">
        <f>IFERROR(VLOOKUP(tblVendas[[#This Row],[id_produto]], tblProdutos[], 4, 0), "Produto não cadastrado")</f>
        <v>76</v>
      </c>
      <c r="H24" s="6" t="str">
        <f>IFERROR(VLOOKUP(tblVendas[[#This Row],[id_produto]], tblProdutos[], 3, 0), "Produto não cadastrado")</f>
        <v>Acessórios</v>
      </c>
      <c r="I24" s="3">
        <f>tblVendas[[#This Row],[quantidade]]*tblVendas[[#This Row],[preco_unitario]]</f>
        <v>152</v>
      </c>
      <c r="J24" t="str">
        <f>_xlfn.XLOOKUP(tblVendas[[#This Row],[id_produto]], tblProdutos[id_produto], tblProdutos[nome_produto], "Não encontrado")</f>
        <v>Cinto</v>
      </c>
      <c r="K24" t="str">
        <f>_xlfn.XLOOKUP(tblVendas[[#This Row],[vendedor]], tblVendedores[vendedor], tblVendedores[regiao], "Não encontrado")</f>
        <v>Norte</v>
      </c>
      <c r="L24">
        <f>MATCH(tblVendas[[#This Row],[id_produto]], tblProdutos[id_produto])</f>
        <v>10</v>
      </c>
      <c r="M24" s="2" t="str" cm="1">
        <f t="array" ref="M24">INDEX(tblProdutos[nome_produto], tblVendas[[#This Row],[posicao]])</f>
        <v>Cinto</v>
      </c>
      <c r="N24" s="2" t="str">
        <f>INDEX(tblProdutos[nome_produto], MATCH(tblVendas[[#This Row],[id_produto]], tblProdutos[id_produto]))</f>
        <v>Cinto</v>
      </c>
    </row>
    <row r="25" spans="1:14" x14ac:dyDescent="0.25">
      <c r="A25">
        <v>24</v>
      </c>
      <c r="B25">
        <v>6</v>
      </c>
      <c r="C25">
        <v>7</v>
      </c>
      <c r="D25" s="1">
        <v>45315</v>
      </c>
      <c r="E25" s="2" t="s">
        <v>9</v>
      </c>
      <c r="F25" t="str">
        <f>IFERROR(VLOOKUP(tblVendas[[#This Row],[id_produto]], tblProdutos[], 2, 0), "Produto não cadastrado")</f>
        <v>Bermuda</v>
      </c>
      <c r="G25" s="3">
        <f>IFERROR(VLOOKUP(tblVendas[[#This Row],[id_produto]], tblProdutos[], 4, 0), "Produto não cadastrado")</f>
        <v>64</v>
      </c>
      <c r="H25" s="6" t="str">
        <f>IFERROR(VLOOKUP(tblVendas[[#This Row],[id_produto]], tblProdutos[], 3, 0), "Produto não cadastrado")</f>
        <v>Calçados</v>
      </c>
      <c r="I25" s="3">
        <f>tblVendas[[#This Row],[quantidade]]*tblVendas[[#This Row],[preco_unitario]]</f>
        <v>448</v>
      </c>
      <c r="J25" t="str">
        <f>_xlfn.XLOOKUP(tblVendas[[#This Row],[id_produto]], tblProdutos[id_produto], tblProdutos[nome_produto], "Não encontrado")</f>
        <v>Bermuda</v>
      </c>
      <c r="K25" t="str">
        <f>_xlfn.XLOOKUP(tblVendas[[#This Row],[vendedor]], tblVendedores[vendedor], tblVendedores[regiao], "Não encontrado")</f>
        <v>Sul</v>
      </c>
      <c r="L25">
        <f>MATCH(tblVendas[[#This Row],[id_produto]], tblProdutos[id_produto])</f>
        <v>6</v>
      </c>
      <c r="M25" s="2" t="str" cm="1">
        <f t="array" ref="M25">INDEX(tblProdutos[nome_produto], tblVendas[[#This Row],[posicao]])</f>
        <v>Bermuda</v>
      </c>
      <c r="N25" s="2" t="str">
        <f>INDEX(tblProdutos[nome_produto], MATCH(tblVendas[[#This Row],[id_produto]], tblProdutos[id_produto]))</f>
        <v>Bermuda</v>
      </c>
    </row>
    <row r="26" spans="1:14" x14ac:dyDescent="0.25">
      <c r="A26">
        <v>25</v>
      </c>
      <c r="B26">
        <v>9</v>
      </c>
      <c r="C26">
        <v>3</v>
      </c>
      <c r="D26" s="1">
        <v>45316</v>
      </c>
      <c r="E26" s="2" t="s">
        <v>9</v>
      </c>
      <c r="F26" t="str">
        <f>IFERROR(VLOOKUP(tblVendas[[#This Row],[id_produto]], tblProdutos[], 2, 0), "Produto não cadastrado")</f>
        <v>Meia</v>
      </c>
      <c r="G26" s="3">
        <f>IFERROR(VLOOKUP(tblVendas[[#This Row],[id_produto]], tblProdutos[], 4, 0), "Produto não cadastrado")</f>
        <v>144</v>
      </c>
      <c r="H26" s="6" t="str">
        <f>IFERROR(VLOOKUP(tblVendas[[#This Row],[id_produto]], tblProdutos[], 3, 0), "Produto não cadastrado")</f>
        <v>Vestuário</v>
      </c>
      <c r="I26" s="3">
        <f>tblVendas[[#This Row],[quantidade]]*tblVendas[[#This Row],[preco_unitario]]</f>
        <v>432</v>
      </c>
      <c r="J26" t="str">
        <f>_xlfn.XLOOKUP(tblVendas[[#This Row],[id_produto]], tblProdutos[id_produto], tblProdutos[nome_produto], "Não encontrado")</f>
        <v>Meia</v>
      </c>
      <c r="K26" t="str">
        <f>_xlfn.XLOOKUP(tblVendas[[#This Row],[vendedor]], tblVendedores[vendedor], tblVendedores[regiao], "Não encontrado")</f>
        <v>Sul</v>
      </c>
      <c r="L26">
        <f>MATCH(tblVendas[[#This Row],[id_produto]], tblProdutos[id_produto])</f>
        <v>9</v>
      </c>
      <c r="M26" s="2" t="str" cm="1">
        <f t="array" ref="M26">INDEX(tblProdutos[nome_produto], tblVendas[[#This Row],[posicao]])</f>
        <v>Meia</v>
      </c>
      <c r="N26" s="2" t="str">
        <f>INDEX(tblProdutos[nome_produto], MATCH(tblVendas[[#This Row],[id_produto]], tblProdutos[id_produto]))</f>
        <v>Meia</v>
      </c>
    </row>
    <row r="27" spans="1:14" x14ac:dyDescent="0.25">
      <c r="A27">
        <v>26</v>
      </c>
      <c r="B27">
        <v>1</v>
      </c>
      <c r="C27">
        <v>7</v>
      </c>
      <c r="D27" s="1">
        <v>45317</v>
      </c>
      <c r="E27" s="2" t="s">
        <v>6</v>
      </c>
      <c r="F27" t="str">
        <f>IFERROR(VLOOKUP(tblVendas[[#This Row],[id_produto]], tblProdutos[], 2, 0), "Produto não cadastrado")</f>
        <v>Camiseta</v>
      </c>
      <c r="G27" s="3">
        <f>IFERROR(VLOOKUP(tblVendas[[#This Row],[id_produto]], tblProdutos[], 4, 0), "Produto não cadastrado")</f>
        <v>174</v>
      </c>
      <c r="H27" s="6" t="str">
        <f>IFERROR(VLOOKUP(tblVendas[[#This Row],[id_produto]], tblProdutos[], 3, 0), "Produto não cadastrado")</f>
        <v>Calçados</v>
      </c>
      <c r="I27" s="3">
        <f>tblVendas[[#This Row],[quantidade]]*tblVendas[[#This Row],[preco_unitario]]</f>
        <v>1218</v>
      </c>
      <c r="J27" t="str">
        <f>_xlfn.XLOOKUP(tblVendas[[#This Row],[id_produto]], tblProdutos[id_produto], tblProdutos[nome_produto], "Não encontrado")</f>
        <v>Camiseta</v>
      </c>
      <c r="K27" t="str">
        <f>_xlfn.XLOOKUP(tblVendas[[#This Row],[vendedor]], tblVendedores[vendedor], tblVendedores[regiao], "Não encontrado")</f>
        <v>Centro-Oeste</v>
      </c>
      <c r="L27">
        <f>MATCH(tblVendas[[#This Row],[id_produto]], tblProdutos[id_produto])</f>
        <v>1</v>
      </c>
      <c r="M27" s="2" t="str" cm="1">
        <f t="array" ref="M27">INDEX(tblProdutos[nome_produto], tblVendas[[#This Row],[posicao]])</f>
        <v>Camiseta</v>
      </c>
      <c r="N27" s="2" t="str">
        <f>INDEX(tblProdutos[nome_produto], MATCH(tblVendas[[#This Row],[id_produto]], tblProdutos[id_produto]))</f>
        <v>Camiseta</v>
      </c>
    </row>
    <row r="28" spans="1:14" x14ac:dyDescent="0.25">
      <c r="A28">
        <v>27</v>
      </c>
      <c r="B28">
        <v>10</v>
      </c>
      <c r="C28">
        <v>9</v>
      </c>
      <c r="D28" s="1">
        <v>45318</v>
      </c>
      <c r="E28" s="2" t="s">
        <v>8</v>
      </c>
      <c r="F28" t="str">
        <f>IFERROR(VLOOKUP(tblVendas[[#This Row],[id_produto]], tblProdutos[], 2, 0), "Produto não cadastrado")</f>
        <v>Cinto</v>
      </c>
      <c r="G28" s="3">
        <f>IFERROR(VLOOKUP(tblVendas[[#This Row],[id_produto]], tblProdutos[], 4, 0), "Produto não cadastrado")</f>
        <v>76</v>
      </c>
      <c r="H28" s="6" t="str">
        <f>IFERROR(VLOOKUP(tblVendas[[#This Row],[id_produto]], tblProdutos[], 3, 0), "Produto não cadastrado")</f>
        <v>Acessórios</v>
      </c>
      <c r="I28" s="3">
        <f>tblVendas[[#This Row],[quantidade]]*tblVendas[[#This Row],[preco_unitario]]</f>
        <v>684</v>
      </c>
      <c r="J28" t="str">
        <f>_xlfn.XLOOKUP(tblVendas[[#This Row],[id_produto]], tblProdutos[id_produto], tblProdutos[nome_produto], "Não encontrado")</f>
        <v>Cinto</v>
      </c>
      <c r="K28" t="str">
        <f>_xlfn.XLOOKUP(tblVendas[[#This Row],[vendedor]], tblVendedores[vendedor], tblVendedores[regiao], "Não encontrado")</f>
        <v>Nordeste</v>
      </c>
      <c r="L28">
        <f>MATCH(tblVendas[[#This Row],[id_produto]], tblProdutos[id_produto])</f>
        <v>10</v>
      </c>
      <c r="M28" s="2" t="str" cm="1">
        <f t="array" ref="M28">INDEX(tblProdutos[nome_produto], tblVendas[[#This Row],[posicao]])</f>
        <v>Cinto</v>
      </c>
      <c r="N28" s="2" t="str">
        <f>INDEX(tblProdutos[nome_produto], MATCH(tblVendas[[#This Row],[id_produto]], tblProdutos[id_produto]))</f>
        <v>Cinto</v>
      </c>
    </row>
    <row r="29" spans="1:14" x14ac:dyDescent="0.25">
      <c r="A29">
        <v>28</v>
      </c>
      <c r="B29">
        <v>3</v>
      </c>
      <c r="C29">
        <v>4</v>
      </c>
      <c r="D29" s="1">
        <v>45319</v>
      </c>
      <c r="E29" s="2" t="s">
        <v>8</v>
      </c>
      <c r="F29" t="str">
        <f>IFERROR(VLOOKUP(tblVendas[[#This Row],[id_produto]], tblProdutos[], 2, 0), "Produto não cadastrado")</f>
        <v>Tênis</v>
      </c>
      <c r="G29" s="3">
        <f>IFERROR(VLOOKUP(tblVendas[[#This Row],[id_produto]], tblProdutos[], 4, 0), "Produto não cadastrado")</f>
        <v>186</v>
      </c>
      <c r="H29" s="6" t="str">
        <f>IFERROR(VLOOKUP(tblVendas[[#This Row],[id_produto]], tblProdutos[], 3, 0), "Produto não cadastrado")</f>
        <v>Vestuário</v>
      </c>
      <c r="I29" s="3">
        <f>tblVendas[[#This Row],[quantidade]]*tblVendas[[#This Row],[preco_unitario]]</f>
        <v>744</v>
      </c>
      <c r="J29" t="str">
        <f>_xlfn.XLOOKUP(tblVendas[[#This Row],[id_produto]], tblProdutos[id_produto], tblProdutos[nome_produto], "Não encontrado")</f>
        <v>Tênis</v>
      </c>
      <c r="K29" t="str">
        <f>_xlfn.XLOOKUP(tblVendas[[#This Row],[vendedor]], tblVendedores[vendedor], tblVendedores[regiao], "Não encontrado")</f>
        <v>Nordeste</v>
      </c>
      <c r="L29">
        <f>MATCH(tblVendas[[#This Row],[id_produto]], tblProdutos[id_produto])</f>
        <v>3</v>
      </c>
      <c r="M29" s="2" t="str" cm="1">
        <f t="array" ref="M29">INDEX(tblProdutos[nome_produto], tblVendas[[#This Row],[posicao]])</f>
        <v>Tênis</v>
      </c>
      <c r="N29" s="2" t="str">
        <f>INDEX(tblProdutos[nome_produto], MATCH(tblVendas[[#This Row],[id_produto]], tblProdutos[id_produto]))</f>
        <v>Tênis</v>
      </c>
    </row>
    <row r="30" spans="1:14" x14ac:dyDescent="0.25">
      <c r="A30">
        <v>29</v>
      </c>
      <c r="B30">
        <v>7</v>
      </c>
      <c r="C30">
        <v>1</v>
      </c>
      <c r="D30" s="1">
        <v>45320</v>
      </c>
      <c r="E30" s="2" t="s">
        <v>6</v>
      </c>
      <c r="F30" t="str">
        <f>IFERROR(VLOOKUP(tblVendas[[#This Row],[id_produto]], tblProdutos[], 2, 0), "Produto não cadastrado")</f>
        <v>Jaqueta</v>
      </c>
      <c r="G30" s="3">
        <f>IFERROR(VLOOKUP(tblVendas[[#This Row],[id_produto]], tblProdutos[], 4, 0), "Produto não cadastrado")</f>
        <v>163</v>
      </c>
      <c r="H30" s="6" t="str">
        <f>IFERROR(VLOOKUP(tblVendas[[#This Row],[id_produto]], tblProdutos[], 3, 0), "Produto não cadastrado")</f>
        <v>Calçados</v>
      </c>
      <c r="I30" s="3">
        <f>tblVendas[[#This Row],[quantidade]]*tblVendas[[#This Row],[preco_unitario]]</f>
        <v>163</v>
      </c>
      <c r="J30" t="str">
        <f>_xlfn.XLOOKUP(tblVendas[[#This Row],[id_produto]], tblProdutos[id_produto], tblProdutos[nome_produto], "Não encontrado")</f>
        <v>Jaqueta</v>
      </c>
      <c r="K30" t="str">
        <f>_xlfn.XLOOKUP(tblVendas[[#This Row],[vendedor]], tblVendedores[vendedor], tblVendedores[regiao], "Não encontrado")</f>
        <v>Centro-Oeste</v>
      </c>
      <c r="L30">
        <f>MATCH(tblVendas[[#This Row],[id_produto]], tblProdutos[id_produto])</f>
        <v>7</v>
      </c>
      <c r="M30" s="2" t="str" cm="1">
        <f t="array" ref="M30">INDEX(tblProdutos[nome_produto], tblVendas[[#This Row],[posicao]])</f>
        <v>Jaqueta</v>
      </c>
      <c r="N30" s="2" t="str">
        <f>INDEX(tblProdutos[nome_produto], MATCH(tblVendas[[#This Row],[id_produto]], tblProdutos[id_produto]))</f>
        <v>Jaqueta</v>
      </c>
    </row>
    <row r="31" spans="1:14" x14ac:dyDescent="0.25">
      <c r="A31">
        <v>30</v>
      </c>
      <c r="B31">
        <v>4</v>
      </c>
      <c r="C31">
        <v>2</v>
      </c>
      <c r="D31" s="1">
        <v>45321</v>
      </c>
      <c r="E31" s="2" t="s">
        <v>7</v>
      </c>
      <c r="F31" t="str">
        <f>IFERROR(VLOOKUP(tblVendas[[#This Row],[id_produto]], tblProdutos[], 2, 0), "Produto não cadastrado")</f>
        <v>Boné</v>
      </c>
      <c r="G31" s="3">
        <f>IFERROR(VLOOKUP(tblVendas[[#This Row],[id_produto]], tblProdutos[], 4, 0), "Produto não cadastrado")</f>
        <v>170</v>
      </c>
      <c r="H31" s="6" t="str">
        <f>IFERROR(VLOOKUP(tblVendas[[#This Row],[id_produto]], tblProdutos[], 3, 0), "Produto não cadastrado")</f>
        <v>Calçados</v>
      </c>
      <c r="I31" s="3">
        <f>tblVendas[[#This Row],[quantidade]]*tblVendas[[#This Row],[preco_unitario]]</f>
        <v>340</v>
      </c>
      <c r="J31" t="str">
        <f>_xlfn.XLOOKUP(tblVendas[[#This Row],[id_produto]], tblProdutos[id_produto], tblProdutos[nome_produto], "Não encontrado")</f>
        <v>Boné</v>
      </c>
      <c r="K31" t="str">
        <f>_xlfn.XLOOKUP(tblVendas[[#This Row],[vendedor]], tblVendedores[vendedor], tblVendedores[regiao], "Não encontrado")</f>
        <v>Norte</v>
      </c>
      <c r="L31">
        <f>MATCH(tblVendas[[#This Row],[id_produto]], tblProdutos[id_produto])</f>
        <v>4</v>
      </c>
      <c r="M31" s="2" t="str" cm="1">
        <f t="array" ref="M31">INDEX(tblProdutos[nome_produto], tblVendas[[#This Row],[posicao]])</f>
        <v>Boné</v>
      </c>
      <c r="N31" s="2" t="str">
        <f>INDEX(tblProdutos[nome_produto], MATCH(tblVendas[[#This Row],[id_produto]], tblProdutos[id_produto]))</f>
        <v>Boné</v>
      </c>
    </row>
    <row r="32" spans="1:14" x14ac:dyDescent="0.25">
      <c r="A32">
        <v>31</v>
      </c>
      <c r="B32">
        <v>9</v>
      </c>
      <c r="C32">
        <v>1</v>
      </c>
      <c r="D32" s="1">
        <v>45322</v>
      </c>
      <c r="E32" s="2" t="s">
        <v>8</v>
      </c>
      <c r="F32" t="str">
        <f>IFERROR(VLOOKUP(tblVendas[[#This Row],[id_produto]], tblProdutos[], 2, 0), "Produto não cadastrado")</f>
        <v>Meia</v>
      </c>
      <c r="G32" s="3">
        <f>IFERROR(VLOOKUP(tblVendas[[#This Row],[id_produto]], tblProdutos[], 4, 0), "Produto não cadastrado")</f>
        <v>144</v>
      </c>
      <c r="H32" s="6" t="str">
        <f>IFERROR(VLOOKUP(tblVendas[[#This Row],[id_produto]], tblProdutos[], 3, 0), "Produto não cadastrado")</f>
        <v>Vestuário</v>
      </c>
      <c r="I32" s="3">
        <f>tblVendas[[#This Row],[quantidade]]*tblVendas[[#This Row],[preco_unitario]]</f>
        <v>144</v>
      </c>
      <c r="J32" t="str">
        <f>_xlfn.XLOOKUP(tblVendas[[#This Row],[id_produto]], tblProdutos[id_produto], tblProdutos[nome_produto], "Não encontrado")</f>
        <v>Meia</v>
      </c>
      <c r="K32" t="str">
        <f>_xlfn.XLOOKUP(tblVendas[[#This Row],[vendedor]], tblVendedores[vendedor], tblVendedores[regiao], "Não encontrado")</f>
        <v>Nordeste</v>
      </c>
      <c r="L32">
        <f>MATCH(tblVendas[[#This Row],[id_produto]], tblProdutos[id_produto])</f>
        <v>9</v>
      </c>
      <c r="M32" s="2" t="str" cm="1">
        <f t="array" ref="M32">INDEX(tblProdutos[nome_produto], tblVendas[[#This Row],[posicao]])</f>
        <v>Meia</v>
      </c>
      <c r="N32" s="2" t="str">
        <f>INDEX(tblProdutos[nome_produto], MATCH(tblVendas[[#This Row],[id_produto]], tblProdutos[id_produto]))</f>
        <v>Meia</v>
      </c>
    </row>
    <row r="33" spans="1:14" x14ac:dyDescent="0.25">
      <c r="A33">
        <v>32</v>
      </c>
      <c r="B33">
        <v>3</v>
      </c>
      <c r="C33">
        <v>5</v>
      </c>
      <c r="D33" s="1">
        <v>45323</v>
      </c>
      <c r="E33" s="2" t="s">
        <v>9</v>
      </c>
      <c r="F33" t="str">
        <f>IFERROR(VLOOKUP(tblVendas[[#This Row],[id_produto]], tblProdutos[], 2, 0), "Produto não cadastrado")</f>
        <v>Tênis</v>
      </c>
      <c r="G33" s="3">
        <f>IFERROR(VLOOKUP(tblVendas[[#This Row],[id_produto]], tblProdutos[], 4, 0), "Produto não cadastrado")</f>
        <v>186</v>
      </c>
      <c r="H33" s="6" t="str">
        <f>IFERROR(VLOOKUP(tblVendas[[#This Row],[id_produto]], tblProdutos[], 3, 0), "Produto não cadastrado")</f>
        <v>Vestuário</v>
      </c>
      <c r="I33" s="3">
        <f>tblVendas[[#This Row],[quantidade]]*tblVendas[[#This Row],[preco_unitario]]</f>
        <v>930</v>
      </c>
      <c r="J33" t="str">
        <f>_xlfn.XLOOKUP(tblVendas[[#This Row],[id_produto]], tblProdutos[id_produto], tblProdutos[nome_produto], "Não encontrado")</f>
        <v>Tênis</v>
      </c>
      <c r="K33" t="str">
        <f>_xlfn.XLOOKUP(tblVendas[[#This Row],[vendedor]], tblVendedores[vendedor], tblVendedores[regiao], "Não encontrado")</f>
        <v>Sul</v>
      </c>
      <c r="L33">
        <f>MATCH(tblVendas[[#This Row],[id_produto]], tblProdutos[id_produto])</f>
        <v>3</v>
      </c>
      <c r="M33" s="2" t="str" cm="1">
        <f t="array" ref="M33">INDEX(tblProdutos[nome_produto], tblVendas[[#This Row],[posicao]])</f>
        <v>Tênis</v>
      </c>
      <c r="N33" s="2" t="str">
        <f>INDEX(tblProdutos[nome_produto], MATCH(tblVendas[[#This Row],[id_produto]], tblProdutos[id_produto]))</f>
        <v>Tênis</v>
      </c>
    </row>
    <row r="34" spans="1:14" x14ac:dyDescent="0.25">
      <c r="A34">
        <v>33</v>
      </c>
      <c r="B34">
        <v>5</v>
      </c>
      <c r="C34">
        <v>5</v>
      </c>
      <c r="D34" s="1">
        <v>45324</v>
      </c>
      <c r="E34" s="2" t="s">
        <v>9</v>
      </c>
      <c r="F34" t="str">
        <f>IFERROR(VLOOKUP(tblVendas[[#This Row],[id_produto]], tblProdutos[], 2, 0), "Produto não cadastrado")</f>
        <v>Moletom</v>
      </c>
      <c r="G34" s="3">
        <f>IFERROR(VLOOKUP(tblVendas[[#This Row],[id_produto]], tblProdutos[], 4, 0), "Produto não cadastrado")</f>
        <v>75</v>
      </c>
      <c r="H34" s="6" t="str">
        <f>IFERROR(VLOOKUP(tblVendas[[#This Row],[id_produto]], tblProdutos[], 3, 0), "Produto não cadastrado")</f>
        <v>Calçados</v>
      </c>
      <c r="I34" s="3">
        <f>tblVendas[[#This Row],[quantidade]]*tblVendas[[#This Row],[preco_unitario]]</f>
        <v>375</v>
      </c>
      <c r="J34" t="str">
        <f>_xlfn.XLOOKUP(tblVendas[[#This Row],[id_produto]], tblProdutos[id_produto], tblProdutos[nome_produto], "Não encontrado")</f>
        <v>Moletom</v>
      </c>
      <c r="K34" t="str">
        <f>_xlfn.XLOOKUP(tblVendas[[#This Row],[vendedor]], tblVendedores[vendedor], tblVendedores[regiao], "Não encontrado")</f>
        <v>Sul</v>
      </c>
      <c r="L34">
        <f>MATCH(tblVendas[[#This Row],[id_produto]], tblProdutos[id_produto])</f>
        <v>5</v>
      </c>
      <c r="M34" s="2" t="str" cm="1">
        <f t="array" ref="M34">INDEX(tblProdutos[nome_produto], tblVendas[[#This Row],[posicao]])</f>
        <v>Moletom</v>
      </c>
      <c r="N34" s="2" t="str">
        <f>INDEX(tblProdutos[nome_produto], MATCH(tblVendas[[#This Row],[id_produto]], tblProdutos[id_produto]))</f>
        <v>Moletom</v>
      </c>
    </row>
    <row r="35" spans="1:14" x14ac:dyDescent="0.25">
      <c r="A35">
        <v>34</v>
      </c>
      <c r="B35">
        <v>3</v>
      </c>
      <c r="C35">
        <v>7</v>
      </c>
      <c r="D35" s="1">
        <v>45325</v>
      </c>
      <c r="E35" s="2" t="s">
        <v>5</v>
      </c>
      <c r="F35" t="str">
        <f>IFERROR(VLOOKUP(tblVendas[[#This Row],[id_produto]], tblProdutos[], 2, 0), "Produto não cadastrado")</f>
        <v>Tênis</v>
      </c>
      <c r="G35" s="3">
        <f>IFERROR(VLOOKUP(tblVendas[[#This Row],[id_produto]], tblProdutos[], 4, 0), "Produto não cadastrado")</f>
        <v>186</v>
      </c>
      <c r="H35" s="6" t="str">
        <f>IFERROR(VLOOKUP(tblVendas[[#This Row],[id_produto]], tblProdutos[], 3, 0), "Produto não cadastrado")</f>
        <v>Vestuário</v>
      </c>
      <c r="I35" s="3">
        <f>tblVendas[[#This Row],[quantidade]]*tblVendas[[#This Row],[preco_unitario]]</f>
        <v>1302</v>
      </c>
      <c r="J35" t="str">
        <f>_xlfn.XLOOKUP(tblVendas[[#This Row],[id_produto]], tblProdutos[id_produto], tblProdutos[nome_produto], "Não encontrado")</f>
        <v>Tênis</v>
      </c>
      <c r="K35" t="str">
        <f>_xlfn.XLOOKUP(tblVendas[[#This Row],[vendedor]], tblVendedores[vendedor], tblVendedores[regiao], "Não encontrado")</f>
        <v>Sudeste</v>
      </c>
      <c r="L35">
        <f>MATCH(tblVendas[[#This Row],[id_produto]], tblProdutos[id_produto])</f>
        <v>3</v>
      </c>
      <c r="M35" s="2" t="str" cm="1">
        <f t="array" ref="M35">INDEX(tblProdutos[nome_produto], tblVendas[[#This Row],[posicao]])</f>
        <v>Tênis</v>
      </c>
      <c r="N35" s="2" t="str">
        <f>INDEX(tblProdutos[nome_produto], MATCH(tblVendas[[#This Row],[id_produto]], tblProdutos[id_produto]))</f>
        <v>Tênis</v>
      </c>
    </row>
    <row r="36" spans="1:14" x14ac:dyDescent="0.25">
      <c r="A36">
        <v>35</v>
      </c>
      <c r="B36">
        <v>7</v>
      </c>
      <c r="C36">
        <v>9</v>
      </c>
      <c r="D36" s="1">
        <v>45326</v>
      </c>
      <c r="E36" s="2" t="s">
        <v>8</v>
      </c>
      <c r="F36" t="str">
        <f>IFERROR(VLOOKUP(tblVendas[[#This Row],[id_produto]], tblProdutos[], 2, 0), "Produto não cadastrado")</f>
        <v>Jaqueta</v>
      </c>
      <c r="G36" s="3">
        <f>IFERROR(VLOOKUP(tblVendas[[#This Row],[id_produto]], tblProdutos[], 4, 0), "Produto não cadastrado")</f>
        <v>163</v>
      </c>
      <c r="H36" s="6" t="str">
        <f>IFERROR(VLOOKUP(tblVendas[[#This Row],[id_produto]], tblProdutos[], 3, 0), "Produto não cadastrado")</f>
        <v>Calçados</v>
      </c>
      <c r="I36" s="3">
        <f>tblVendas[[#This Row],[quantidade]]*tblVendas[[#This Row],[preco_unitario]]</f>
        <v>1467</v>
      </c>
      <c r="J36" t="str">
        <f>_xlfn.XLOOKUP(tblVendas[[#This Row],[id_produto]], tblProdutos[id_produto], tblProdutos[nome_produto], "Não encontrado")</f>
        <v>Jaqueta</v>
      </c>
      <c r="K36" t="str">
        <f>_xlfn.XLOOKUP(tblVendas[[#This Row],[vendedor]], tblVendedores[vendedor], tblVendedores[regiao], "Não encontrado")</f>
        <v>Nordeste</v>
      </c>
      <c r="L36">
        <f>MATCH(tblVendas[[#This Row],[id_produto]], tblProdutos[id_produto])</f>
        <v>7</v>
      </c>
      <c r="M36" s="2" t="str" cm="1">
        <f t="array" ref="M36">INDEX(tblProdutos[nome_produto], tblVendas[[#This Row],[posicao]])</f>
        <v>Jaqueta</v>
      </c>
      <c r="N36" s="2" t="str">
        <f>INDEX(tblProdutos[nome_produto], MATCH(tblVendas[[#This Row],[id_produto]], tblProdutos[id_produto]))</f>
        <v>Jaqueta</v>
      </c>
    </row>
    <row r="37" spans="1:14" x14ac:dyDescent="0.25">
      <c r="A37">
        <v>36</v>
      </c>
      <c r="B37">
        <v>5</v>
      </c>
      <c r="C37">
        <v>9</v>
      </c>
      <c r="D37" s="1">
        <v>45327</v>
      </c>
      <c r="E37" s="2" t="s">
        <v>7</v>
      </c>
      <c r="F37" t="str">
        <f>IFERROR(VLOOKUP(tblVendas[[#This Row],[id_produto]], tblProdutos[], 2, 0), "Produto não cadastrado")</f>
        <v>Moletom</v>
      </c>
      <c r="G37" s="3">
        <f>IFERROR(VLOOKUP(tblVendas[[#This Row],[id_produto]], tblProdutos[], 4, 0), "Produto não cadastrado")</f>
        <v>75</v>
      </c>
      <c r="H37" s="6" t="str">
        <f>IFERROR(VLOOKUP(tblVendas[[#This Row],[id_produto]], tblProdutos[], 3, 0), "Produto não cadastrado")</f>
        <v>Calçados</v>
      </c>
      <c r="I37" s="3">
        <f>tblVendas[[#This Row],[quantidade]]*tblVendas[[#This Row],[preco_unitario]]</f>
        <v>675</v>
      </c>
      <c r="J37" t="str">
        <f>_xlfn.XLOOKUP(tblVendas[[#This Row],[id_produto]], tblProdutos[id_produto], tblProdutos[nome_produto], "Não encontrado")</f>
        <v>Moletom</v>
      </c>
      <c r="K37" t="str">
        <f>_xlfn.XLOOKUP(tblVendas[[#This Row],[vendedor]], tblVendedores[vendedor], tblVendedores[regiao], "Não encontrado")</f>
        <v>Norte</v>
      </c>
      <c r="L37">
        <f>MATCH(tblVendas[[#This Row],[id_produto]], tblProdutos[id_produto])</f>
        <v>5</v>
      </c>
      <c r="M37" s="2" t="str" cm="1">
        <f t="array" ref="M37">INDEX(tblProdutos[nome_produto], tblVendas[[#This Row],[posicao]])</f>
        <v>Moletom</v>
      </c>
      <c r="N37" s="2" t="str">
        <f>INDEX(tblProdutos[nome_produto], MATCH(tblVendas[[#This Row],[id_produto]], tblProdutos[id_produto]))</f>
        <v>Moletom</v>
      </c>
    </row>
    <row r="38" spans="1:14" x14ac:dyDescent="0.25">
      <c r="A38">
        <v>37</v>
      </c>
      <c r="B38">
        <v>9</v>
      </c>
      <c r="C38">
        <v>3</v>
      </c>
      <c r="D38" s="1">
        <v>45328</v>
      </c>
      <c r="E38" s="2" t="s">
        <v>6</v>
      </c>
      <c r="F38" t="str">
        <f>IFERROR(VLOOKUP(tblVendas[[#This Row],[id_produto]], tblProdutos[], 2, 0), "Produto não cadastrado")</f>
        <v>Meia</v>
      </c>
      <c r="G38" s="3">
        <f>IFERROR(VLOOKUP(tblVendas[[#This Row],[id_produto]], tblProdutos[], 4, 0), "Produto não cadastrado")</f>
        <v>144</v>
      </c>
      <c r="H38" s="6" t="str">
        <f>IFERROR(VLOOKUP(tblVendas[[#This Row],[id_produto]], tblProdutos[], 3, 0), "Produto não cadastrado")</f>
        <v>Vestuário</v>
      </c>
      <c r="I38" s="3">
        <f>tblVendas[[#This Row],[quantidade]]*tblVendas[[#This Row],[preco_unitario]]</f>
        <v>432</v>
      </c>
      <c r="J38" t="str">
        <f>_xlfn.XLOOKUP(tblVendas[[#This Row],[id_produto]], tblProdutos[id_produto], tblProdutos[nome_produto], "Não encontrado")</f>
        <v>Meia</v>
      </c>
      <c r="K38" t="str">
        <f>_xlfn.XLOOKUP(tblVendas[[#This Row],[vendedor]], tblVendedores[vendedor], tblVendedores[regiao], "Não encontrado")</f>
        <v>Centro-Oeste</v>
      </c>
      <c r="L38">
        <f>MATCH(tblVendas[[#This Row],[id_produto]], tblProdutos[id_produto])</f>
        <v>9</v>
      </c>
      <c r="M38" s="2" t="str" cm="1">
        <f t="array" ref="M38">INDEX(tblProdutos[nome_produto], tblVendas[[#This Row],[posicao]])</f>
        <v>Meia</v>
      </c>
      <c r="N38" s="2" t="str">
        <f>INDEX(tblProdutos[nome_produto], MATCH(tblVendas[[#This Row],[id_produto]], tblProdutos[id_produto]))</f>
        <v>Meia</v>
      </c>
    </row>
    <row r="39" spans="1:14" x14ac:dyDescent="0.25">
      <c r="A39">
        <v>38</v>
      </c>
      <c r="B39">
        <v>7</v>
      </c>
      <c r="C39">
        <v>3</v>
      </c>
      <c r="D39" s="1">
        <v>45329</v>
      </c>
      <c r="E39" s="2" t="s">
        <v>6</v>
      </c>
      <c r="F39" t="str">
        <f>IFERROR(VLOOKUP(tblVendas[[#This Row],[id_produto]], tblProdutos[], 2, 0), "Produto não cadastrado")</f>
        <v>Jaqueta</v>
      </c>
      <c r="G39" s="3">
        <f>IFERROR(VLOOKUP(tblVendas[[#This Row],[id_produto]], tblProdutos[], 4, 0), "Produto não cadastrado")</f>
        <v>163</v>
      </c>
      <c r="H39" s="6" t="str">
        <f>IFERROR(VLOOKUP(tblVendas[[#This Row],[id_produto]], tblProdutos[], 3, 0), "Produto não cadastrado")</f>
        <v>Calçados</v>
      </c>
      <c r="I39" s="3">
        <f>tblVendas[[#This Row],[quantidade]]*tblVendas[[#This Row],[preco_unitario]]</f>
        <v>489</v>
      </c>
      <c r="J39" t="str">
        <f>_xlfn.XLOOKUP(tblVendas[[#This Row],[id_produto]], tblProdutos[id_produto], tblProdutos[nome_produto], "Não encontrado")</f>
        <v>Jaqueta</v>
      </c>
      <c r="K39" t="str">
        <f>_xlfn.XLOOKUP(tblVendas[[#This Row],[vendedor]], tblVendedores[vendedor], tblVendedores[regiao], "Não encontrado")</f>
        <v>Centro-Oeste</v>
      </c>
      <c r="L39">
        <f>MATCH(tblVendas[[#This Row],[id_produto]], tblProdutos[id_produto])</f>
        <v>7</v>
      </c>
      <c r="M39" s="2" t="str" cm="1">
        <f t="array" ref="M39">INDEX(tblProdutos[nome_produto], tblVendas[[#This Row],[posicao]])</f>
        <v>Jaqueta</v>
      </c>
      <c r="N39" s="2" t="str">
        <f>INDEX(tblProdutos[nome_produto], MATCH(tblVendas[[#This Row],[id_produto]], tblProdutos[id_produto]))</f>
        <v>Jaqueta</v>
      </c>
    </row>
    <row r="40" spans="1:14" x14ac:dyDescent="0.25">
      <c r="A40">
        <v>39</v>
      </c>
      <c r="B40">
        <v>2</v>
      </c>
      <c r="C40">
        <v>3</v>
      </c>
      <c r="D40" s="1">
        <v>45330</v>
      </c>
      <c r="E40" s="2" t="s">
        <v>7</v>
      </c>
      <c r="F40" t="str">
        <f>IFERROR(VLOOKUP(tblVendas[[#This Row],[id_produto]], tblProdutos[], 2, 0), "Produto não cadastrado")</f>
        <v>Calça Jeans</v>
      </c>
      <c r="G40" s="3">
        <f>IFERROR(VLOOKUP(tblVendas[[#This Row],[id_produto]], tblProdutos[], 4, 0), "Produto não cadastrado")</f>
        <v>190</v>
      </c>
      <c r="H40" s="6" t="str">
        <f>IFERROR(VLOOKUP(tblVendas[[#This Row],[id_produto]], tblProdutos[], 3, 0), "Produto não cadastrado")</f>
        <v>Calçados</v>
      </c>
      <c r="I40" s="3">
        <f>tblVendas[[#This Row],[quantidade]]*tblVendas[[#This Row],[preco_unitario]]</f>
        <v>570</v>
      </c>
      <c r="J40" t="str">
        <f>_xlfn.XLOOKUP(tblVendas[[#This Row],[id_produto]], tblProdutos[id_produto], tblProdutos[nome_produto], "Não encontrado")</f>
        <v>Calça Jeans</v>
      </c>
      <c r="K40" t="str">
        <f>_xlfn.XLOOKUP(tblVendas[[#This Row],[vendedor]], tblVendedores[vendedor], tblVendedores[regiao], "Não encontrado")</f>
        <v>Norte</v>
      </c>
      <c r="L40">
        <f>MATCH(tblVendas[[#This Row],[id_produto]], tblProdutos[id_produto])</f>
        <v>2</v>
      </c>
      <c r="M40" s="2" t="str" cm="1">
        <f t="array" ref="M40">INDEX(tblProdutos[nome_produto], tblVendas[[#This Row],[posicao]])</f>
        <v>Calça Jeans</v>
      </c>
      <c r="N40" s="2" t="str">
        <f>INDEX(tblProdutos[nome_produto], MATCH(tblVendas[[#This Row],[id_produto]], tblProdutos[id_produto]))</f>
        <v>Calça Jeans</v>
      </c>
    </row>
    <row r="41" spans="1:14" x14ac:dyDescent="0.25">
      <c r="A41">
        <v>40</v>
      </c>
      <c r="B41">
        <v>4</v>
      </c>
      <c r="C41">
        <v>4</v>
      </c>
      <c r="D41" s="1">
        <v>45331</v>
      </c>
      <c r="E41" s="2" t="s">
        <v>5</v>
      </c>
      <c r="F41" t="str">
        <f>IFERROR(VLOOKUP(tblVendas[[#This Row],[id_produto]], tblProdutos[], 2, 0), "Produto não cadastrado")</f>
        <v>Boné</v>
      </c>
      <c r="G41" s="3">
        <f>IFERROR(VLOOKUP(tblVendas[[#This Row],[id_produto]], tblProdutos[], 4, 0), "Produto não cadastrado")</f>
        <v>170</v>
      </c>
      <c r="H41" s="6" t="str">
        <f>IFERROR(VLOOKUP(tblVendas[[#This Row],[id_produto]], tblProdutos[], 3, 0), "Produto não cadastrado")</f>
        <v>Calçados</v>
      </c>
      <c r="I41" s="3">
        <f>tblVendas[[#This Row],[quantidade]]*tblVendas[[#This Row],[preco_unitario]]</f>
        <v>680</v>
      </c>
      <c r="J41" t="str">
        <f>_xlfn.XLOOKUP(tblVendas[[#This Row],[id_produto]], tblProdutos[id_produto], tblProdutos[nome_produto], "Não encontrado")</f>
        <v>Boné</v>
      </c>
      <c r="K41" t="str">
        <f>_xlfn.XLOOKUP(tblVendas[[#This Row],[vendedor]], tblVendedores[vendedor], tblVendedores[regiao], "Não encontrado")</f>
        <v>Sudeste</v>
      </c>
      <c r="L41">
        <f>MATCH(tblVendas[[#This Row],[id_produto]], tblProdutos[id_produto])</f>
        <v>4</v>
      </c>
      <c r="M41" s="2" t="str" cm="1">
        <f t="array" ref="M41">INDEX(tblProdutos[nome_produto], tblVendas[[#This Row],[posicao]])</f>
        <v>Boné</v>
      </c>
      <c r="N41" s="2" t="str">
        <f>INDEX(tblProdutos[nome_produto], MATCH(tblVendas[[#This Row],[id_produto]], tblProdutos[id_produto]))</f>
        <v>Boné</v>
      </c>
    </row>
    <row r="42" spans="1:14" x14ac:dyDescent="0.25">
      <c r="A42">
        <v>41</v>
      </c>
      <c r="B42">
        <v>9</v>
      </c>
      <c r="C42">
        <v>8</v>
      </c>
      <c r="D42" s="1">
        <v>45332</v>
      </c>
      <c r="E42" s="2" t="s">
        <v>6</v>
      </c>
      <c r="F42" t="str">
        <f>IFERROR(VLOOKUP(tblVendas[[#This Row],[id_produto]], tblProdutos[], 2, 0), "Produto não cadastrado")</f>
        <v>Meia</v>
      </c>
      <c r="G42" s="3">
        <f>IFERROR(VLOOKUP(tblVendas[[#This Row],[id_produto]], tblProdutos[], 4, 0), "Produto não cadastrado")</f>
        <v>144</v>
      </c>
      <c r="H42" s="6" t="str">
        <f>IFERROR(VLOOKUP(tblVendas[[#This Row],[id_produto]], tblProdutos[], 3, 0), "Produto não cadastrado")</f>
        <v>Vestuário</v>
      </c>
      <c r="I42" s="3">
        <f>tblVendas[[#This Row],[quantidade]]*tblVendas[[#This Row],[preco_unitario]]</f>
        <v>1152</v>
      </c>
      <c r="J42" t="str">
        <f>_xlfn.XLOOKUP(tblVendas[[#This Row],[id_produto]], tblProdutos[id_produto], tblProdutos[nome_produto], "Não encontrado")</f>
        <v>Meia</v>
      </c>
      <c r="K42" t="str">
        <f>_xlfn.XLOOKUP(tblVendas[[#This Row],[vendedor]], tblVendedores[vendedor], tblVendedores[regiao], "Não encontrado")</f>
        <v>Centro-Oeste</v>
      </c>
      <c r="L42">
        <f>MATCH(tblVendas[[#This Row],[id_produto]], tblProdutos[id_produto])</f>
        <v>9</v>
      </c>
      <c r="M42" s="2" t="str" cm="1">
        <f t="array" ref="M42">INDEX(tblProdutos[nome_produto], tblVendas[[#This Row],[posicao]])</f>
        <v>Meia</v>
      </c>
      <c r="N42" s="2" t="str">
        <f>INDEX(tblProdutos[nome_produto], MATCH(tblVendas[[#This Row],[id_produto]], tblProdutos[id_produto]))</f>
        <v>Meia</v>
      </c>
    </row>
    <row r="43" spans="1:14" x14ac:dyDescent="0.25">
      <c r="A43">
        <v>42</v>
      </c>
      <c r="B43">
        <v>2</v>
      </c>
      <c r="C43">
        <v>6</v>
      </c>
      <c r="D43" s="1">
        <v>45333</v>
      </c>
      <c r="E43" s="2" t="s">
        <v>8</v>
      </c>
      <c r="F43" t="str">
        <f>IFERROR(VLOOKUP(tblVendas[[#This Row],[id_produto]], tblProdutos[], 2, 0), "Produto não cadastrado")</f>
        <v>Calça Jeans</v>
      </c>
      <c r="G43" s="3">
        <f>IFERROR(VLOOKUP(tblVendas[[#This Row],[id_produto]], tblProdutos[], 4, 0), "Produto não cadastrado")</f>
        <v>190</v>
      </c>
      <c r="H43" s="6" t="str">
        <f>IFERROR(VLOOKUP(tblVendas[[#This Row],[id_produto]], tblProdutos[], 3, 0), "Produto não cadastrado")</f>
        <v>Calçados</v>
      </c>
      <c r="I43" s="3">
        <f>tblVendas[[#This Row],[quantidade]]*tblVendas[[#This Row],[preco_unitario]]</f>
        <v>1140</v>
      </c>
      <c r="J43" t="str">
        <f>_xlfn.XLOOKUP(tblVendas[[#This Row],[id_produto]], tblProdutos[id_produto], tblProdutos[nome_produto], "Não encontrado")</f>
        <v>Calça Jeans</v>
      </c>
      <c r="K43" t="str">
        <f>_xlfn.XLOOKUP(tblVendas[[#This Row],[vendedor]], tblVendedores[vendedor], tblVendedores[regiao], "Não encontrado")</f>
        <v>Nordeste</v>
      </c>
      <c r="L43">
        <f>MATCH(tblVendas[[#This Row],[id_produto]], tblProdutos[id_produto])</f>
        <v>2</v>
      </c>
      <c r="M43" s="2" t="str" cm="1">
        <f t="array" ref="M43">INDEX(tblProdutos[nome_produto], tblVendas[[#This Row],[posicao]])</f>
        <v>Calça Jeans</v>
      </c>
      <c r="N43" s="2" t="str">
        <f>INDEX(tblProdutos[nome_produto], MATCH(tblVendas[[#This Row],[id_produto]], tblProdutos[id_produto]))</f>
        <v>Calça Jeans</v>
      </c>
    </row>
    <row r="44" spans="1:14" x14ac:dyDescent="0.25">
      <c r="A44">
        <v>43</v>
      </c>
      <c r="B44">
        <v>10</v>
      </c>
      <c r="C44">
        <v>8</v>
      </c>
      <c r="D44" s="1">
        <v>45334</v>
      </c>
      <c r="E44" s="2" t="s">
        <v>5</v>
      </c>
      <c r="F44" t="str">
        <f>IFERROR(VLOOKUP(tblVendas[[#This Row],[id_produto]], tblProdutos[], 2, 0), "Produto não cadastrado")</f>
        <v>Cinto</v>
      </c>
      <c r="G44" s="3">
        <f>IFERROR(VLOOKUP(tblVendas[[#This Row],[id_produto]], tblProdutos[], 4, 0), "Produto não cadastrado")</f>
        <v>76</v>
      </c>
      <c r="H44" s="6" t="str">
        <f>IFERROR(VLOOKUP(tblVendas[[#This Row],[id_produto]], tblProdutos[], 3, 0), "Produto não cadastrado")</f>
        <v>Acessórios</v>
      </c>
      <c r="I44" s="3">
        <f>tblVendas[[#This Row],[quantidade]]*tblVendas[[#This Row],[preco_unitario]]</f>
        <v>608</v>
      </c>
      <c r="J44" t="str">
        <f>_xlfn.XLOOKUP(tblVendas[[#This Row],[id_produto]], tblProdutos[id_produto], tblProdutos[nome_produto], "Não encontrado")</f>
        <v>Cinto</v>
      </c>
      <c r="K44" t="str">
        <f>_xlfn.XLOOKUP(tblVendas[[#This Row],[vendedor]], tblVendedores[vendedor], tblVendedores[regiao], "Não encontrado")</f>
        <v>Sudeste</v>
      </c>
      <c r="L44">
        <f>MATCH(tblVendas[[#This Row],[id_produto]], tblProdutos[id_produto])</f>
        <v>10</v>
      </c>
      <c r="M44" s="2" t="str" cm="1">
        <f t="array" ref="M44">INDEX(tblProdutos[nome_produto], tblVendas[[#This Row],[posicao]])</f>
        <v>Cinto</v>
      </c>
      <c r="N44" s="2" t="str">
        <f>INDEX(tblProdutos[nome_produto], MATCH(tblVendas[[#This Row],[id_produto]], tblProdutos[id_produto]))</f>
        <v>Cinto</v>
      </c>
    </row>
    <row r="45" spans="1:14" x14ac:dyDescent="0.25">
      <c r="A45">
        <v>44</v>
      </c>
      <c r="B45">
        <v>9</v>
      </c>
      <c r="C45">
        <v>1</v>
      </c>
      <c r="D45" s="1">
        <v>45335</v>
      </c>
      <c r="E45" s="2" t="s">
        <v>8</v>
      </c>
      <c r="F45" t="str">
        <f>IFERROR(VLOOKUP(tblVendas[[#This Row],[id_produto]], tblProdutos[], 2, 0), "Produto não cadastrado")</f>
        <v>Meia</v>
      </c>
      <c r="G45" s="3">
        <f>IFERROR(VLOOKUP(tblVendas[[#This Row],[id_produto]], tblProdutos[], 4, 0), "Produto não cadastrado")</f>
        <v>144</v>
      </c>
      <c r="H45" s="6" t="str">
        <f>IFERROR(VLOOKUP(tblVendas[[#This Row],[id_produto]], tblProdutos[], 3, 0), "Produto não cadastrado")</f>
        <v>Vestuário</v>
      </c>
      <c r="I45" s="3">
        <f>tblVendas[[#This Row],[quantidade]]*tblVendas[[#This Row],[preco_unitario]]</f>
        <v>144</v>
      </c>
      <c r="J45" t="str">
        <f>_xlfn.XLOOKUP(tblVendas[[#This Row],[id_produto]], tblProdutos[id_produto], tblProdutos[nome_produto], "Não encontrado")</f>
        <v>Meia</v>
      </c>
      <c r="K45" t="str">
        <f>_xlfn.XLOOKUP(tblVendas[[#This Row],[vendedor]], tblVendedores[vendedor], tblVendedores[regiao], "Não encontrado")</f>
        <v>Nordeste</v>
      </c>
      <c r="L45">
        <f>MATCH(tblVendas[[#This Row],[id_produto]], tblProdutos[id_produto])</f>
        <v>9</v>
      </c>
      <c r="M45" s="2" t="str" cm="1">
        <f t="array" ref="M45">INDEX(tblProdutos[nome_produto], tblVendas[[#This Row],[posicao]])</f>
        <v>Meia</v>
      </c>
      <c r="N45" s="2" t="str">
        <f>INDEX(tblProdutos[nome_produto], MATCH(tblVendas[[#This Row],[id_produto]], tblProdutos[id_produto]))</f>
        <v>Meia</v>
      </c>
    </row>
    <row r="46" spans="1:14" x14ac:dyDescent="0.25">
      <c r="A46">
        <v>45</v>
      </c>
      <c r="B46">
        <v>10</v>
      </c>
      <c r="C46">
        <v>8</v>
      </c>
      <c r="D46" s="1">
        <v>45336</v>
      </c>
      <c r="E46" s="2" t="s">
        <v>9</v>
      </c>
      <c r="F46" t="str">
        <f>IFERROR(VLOOKUP(tblVendas[[#This Row],[id_produto]], tblProdutos[], 2, 0), "Produto não cadastrado")</f>
        <v>Cinto</v>
      </c>
      <c r="G46" s="3">
        <f>IFERROR(VLOOKUP(tblVendas[[#This Row],[id_produto]], tblProdutos[], 4, 0), "Produto não cadastrado")</f>
        <v>76</v>
      </c>
      <c r="H46" s="6" t="str">
        <f>IFERROR(VLOOKUP(tblVendas[[#This Row],[id_produto]], tblProdutos[], 3, 0), "Produto não cadastrado")</f>
        <v>Acessórios</v>
      </c>
      <c r="I46" s="3">
        <f>tblVendas[[#This Row],[quantidade]]*tblVendas[[#This Row],[preco_unitario]]</f>
        <v>608</v>
      </c>
      <c r="J46" t="str">
        <f>_xlfn.XLOOKUP(tblVendas[[#This Row],[id_produto]], tblProdutos[id_produto], tblProdutos[nome_produto], "Não encontrado")</f>
        <v>Cinto</v>
      </c>
      <c r="K46" t="str">
        <f>_xlfn.XLOOKUP(tblVendas[[#This Row],[vendedor]], tblVendedores[vendedor], tblVendedores[regiao], "Não encontrado")</f>
        <v>Sul</v>
      </c>
      <c r="L46">
        <f>MATCH(tblVendas[[#This Row],[id_produto]], tblProdutos[id_produto])</f>
        <v>10</v>
      </c>
      <c r="M46" s="2" t="str" cm="1">
        <f t="array" ref="M46">INDEX(tblProdutos[nome_produto], tblVendas[[#This Row],[posicao]])</f>
        <v>Cinto</v>
      </c>
      <c r="N46" s="2" t="str">
        <f>INDEX(tblProdutos[nome_produto], MATCH(tblVendas[[#This Row],[id_produto]], tblProdutos[id_produto]))</f>
        <v>Cinto</v>
      </c>
    </row>
    <row r="47" spans="1:14" x14ac:dyDescent="0.25">
      <c r="A47">
        <v>46</v>
      </c>
      <c r="B47">
        <v>5</v>
      </c>
      <c r="C47">
        <v>4</v>
      </c>
      <c r="D47" s="1">
        <v>45337</v>
      </c>
      <c r="E47" s="2" t="s">
        <v>5</v>
      </c>
      <c r="F47" t="str">
        <f>IFERROR(VLOOKUP(tblVendas[[#This Row],[id_produto]], tblProdutos[], 2, 0), "Produto não cadastrado")</f>
        <v>Moletom</v>
      </c>
      <c r="G47" s="3">
        <f>IFERROR(VLOOKUP(tblVendas[[#This Row],[id_produto]], tblProdutos[], 4, 0), "Produto não cadastrado")</f>
        <v>75</v>
      </c>
      <c r="H47" s="6" t="str">
        <f>IFERROR(VLOOKUP(tblVendas[[#This Row],[id_produto]], tblProdutos[], 3, 0), "Produto não cadastrado")</f>
        <v>Calçados</v>
      </c>
      <c r="I47" s="3">
        <f>tblVendas[[#This Row],[quantidade]]*tblVendas[[#This Row],[preco_unitario]]</f>
        <v>300</v>
      </c>
      <c r="J47" t="str">
        <f>_xlfn.XLOOKUP(tblVendas[[#This Row],[id_produto]], tblProdutos[id_produto], tblProdutos[nome_produto], "Não encontrado")</f>
        <v>Moletom</v>
      </c>
      <c r="K47" t="str">
        <f>_xlfn.XLOOKUP(tblVendas[[#This Row],[vendedor]], tblVendedores[vendedor], tblVendedores[regiao], "Não encontrado")</f>
        <v>Sudeste</v>
      </c>
      <c r="L47">
        <f>MATCH(tblVendas[[#This Row],[id_produto]], tblProdutos[id_produto])</f>
        <v>5</v>
      </c>
      <c r="M47" s="2" t="str" cm="1">
        <f t="array" ref="M47">INDEX(tblProdutos[nome_produto], tblVendas[[#This Row],[posicao]])</f>
        <v>Moletom</v>
      </c>
      <c r="N47" s="2" t="str">
        <f>INDEX(tblProdutos[nome_produto], MATCH(tblVendas[[#This Row],[id_produto]], tblProdutos[id_produto]))</f>
        <v>Moletom</v>
      </c>
    </row>
    <row r="48" spans="1:14" x14ac:dyDescent="0.25">
      <c r="A48">
        <v>47</v>
      </c>
      <c r="B48">
        <v>2</v>
      </c>
      <c r="C48">
        <v>1</v>
      </c>
      <c r="D48" s="1">
        <v>45338</v>
      </c>
      <c r="E48" s="2" t="s">
        <v>6</v>
      </c>
      <c r="F48" t="str">
        <f>IFERROR(VLOOKUP(tblVendas[[#This Row],[id_produto]], tblProdutos[], 2, 0), "Produto não cadastrado")</f>
        <v>Calça Jeans</v>
      </c>
      <c r="G48" s="3">
        <f>IFERROR(VLOOKUP(tblVendas[[#This Row],[id_produto]], tblProdutos[], 4, 0), "Produto não cadastrado")</f>
        <v>190</v>
      </c>
      <c r="H48" s="6" t="str">
        <f>IFERROR(VLOOKUP(tblVendas[[#This Row],[id_produto]], tblProdutos[], 3, 0), "Produto não cadastrado")</f>
        <v>Calçados</v>
      </c>
      <c r="I48" s="3">
        <f>tblVendas[[#This Row],[quantidade]]*tblVendas[[#This Row],[preco_unitario]]</f>
        <v>190</v>
      </c>
      <c r="J48" t="str">
        <f>_xlfn.XLOOKUP(tblVendas[[#This Row],[id_produto]], tblProdutos[id_produto], tblProdutos[nome_produto], "Não encontrado")</f>
        <v>Calça Jeans</v>
      </c>
      <c r="K48" t="str">
        <f>_xlfn.XLOOKUP(tblVendas[[#This Row],[vendedor]], tblVendedores[vendedor], tblVendedores[regiao], "Não encontrado")</f>
        <v>Centro-Oeste</v>
      </c>
      <c r="L48">
        <f>MATCH(tblVendas[[#This Row],[id_produto]], tblProdutos[id_produto])</f>
        <v>2</v>
      </c>
      <c r="M48" s="2" t="str" cm="1">
        <f t="array" ref="M48">INDEX(tblProdutos[nome_produto], tblVendas[[#This Row],[posicao]])</f>
        <v>Calça Jeans</v>
      </c>
      <c r="N48" s="2" t="str">
        <f>INDEX(tblProdutos[nome_produto], MATCH(tblVendas[[#This Row],[id_produto]], tblProdutos[id_produto]))</f>
        <v>Calça Jeans</v>
      </c>
    </row>
    <row r="49" spans="1:14" x14ac:dyDescent="0.25">
      <c r="A49">
        <v>48</v>
      </c>
      <c r="B49">
        <v>4</v>
      </c>
      <c r="C49">
        <v>8</v>
      </c>
      <c r="D49" s="1">
        <v>45339</v>
      </c>
      <c r="E49" s="2" t="s">
        <v>5</v>
      </c>
      <c r="F49" t="str">
        <f>IFERROR(VLOOKUP(tblVendas[[#This Row],[id_produto]], tblProdutos[], 2, 0), "Produto não cadastrado")</f>
        <v>Boné</v>
      </c>
      <c r="G49" s="3">
        <f>IFERROR(VLOOKUP(tblVendas[[#This Row],[id_produto]], tblProdutos[], 4, 0), "Produto não cadastrado")</f>
        <v>170</v>
      </c>
      <c r="H49" s="6" t="str">
        <f>IFERROR(VLOOKUP(tblVendas[[#This Row],[id_produto]], tblProdutos[], 3, 0), "Produto não cadastrado")</f>
        <v>Calçados</v>
      </c>
      <c r="I49" s="3">
        <f>tblVendas[[#This Row],[quantidade]]*tblVendas[[#This Row],[preco_unitario]]</f>
        <v>1360</v>
      </c>
      <c r="J49" t="str">
        <f>_xlfn.XLOOKUP(tblVendas[[#This Row],[id_produto]], tblProdutos[id_produto], tblProdutos[nome_produto], "Não encontrado")</f>
        <v>Boné</v>
      </c>
      <c r="K49" t="str">
        <f>_xlfn.XLOOKUP(tblVendas[[#This Row],[vendedor]], tblVendedores[vendedor], tblVendedores[regiao], "Não encontrado")</f>
        <v>Sudeste</v>
      </c>
      <c r="L49">
        <f>MATCH(tblVendas[[#This Row],[id_produto]], tblProdutos[id_produto])</f>
        <v>4</v>
      </c>
      <c r="M49" s="2" t="str" cm="1">
        <f t="array" ref="M49">INDEX(tblProdutos[nome_produto], tblVendas[[#This Row],[posicao]])</f>
        <v>Boné</v>
      </c>
      <c r="N49" s="2" t="str">
        <f>INDEX(tblProdutos[nome_produto], MATCH(tblVendas[[#This Row],[id_produto]], tblProdutos[id_produto]))</f>
        <v>Boné</v>
      </c>
    </row>
    <row r="50" spans="1:14" x14ac:dyDescent="0.25">
      <c r="A50">
        <v>49</v>
      </c>
      <c r="B50">
        <v>7</v>
      </c>
      <c r="C50">
        <v>4</v>
      </c>
      <c r="D50" s="1">
        <v>45340</v>
      </c>
      <c r="E50" s="2" t="s">
        <v>5</v>
      </c>
      <c r="F50" t="str">
        <f>IFERROR(VLOOKUP(tblVendas[[#This Row],[id_produto]], tblProdutos[], 2, 0), "Produto não cadastrado")</f>
        <v>Jaqueta</v>
      </c>
      <c r="G50" s="3">
        <f>IFERROR(VLOOKUP(tblVendas[[#This Row],[id_produto]], tblProdutos[], 4, 0), "Produto não cadastrado")</f>
        <v>163</v>
      </c>
      <c r="H50" s="6" t="str">
        <f>IFERROR(VLOOKUP(tblVendas[[#This Row],[id_produto]], tblProdutos[], 3, 0), "Produto não cadastrado")</f>
        <v>Calçados</v>
      </c>
      <c r="I50" s="3">
        <f>tblVendas[[#This Row],[quantidade]]*tblVendas[[#This Row],[preco_unitario]]</f>
        <v>652</v>
      </c>
      <c r="J50" t="str">
        <f>_xlfn.XLOOKUP(tblVendas[[#This Row],[id_produto]], tblProdutos[id_produto], tblProdutos[nome_produto], "Não encontrado")</f>
        <v>Jaqueta</v>
      </c>
      <c r="K50" t="str">
        <f>_xlfn.XLOOKUP(tblVendas[[#This Row],[vendedor]], tblVendedores[vendedor], tblVendedores[regiao], "Não encontrado")</f>
        <v>Sudeste</v>
      </c>
      <c r="L50">
        <f>MATCH(tblVendas[[#This Row],[id_produto]], tblProdutos[id_produto])</f>
        <v>7</v>
      </c>
      <c r="M50" s="2" t="str" cm="1">
        <f t="array" ref="M50">INDEX(tblProdutos[nome_produto], tblVendas[[#This Row],[posicao]])</f>
        <v>Jaqueta</v>
      </c>
      <c r="N50" s="2" t="str">
        <f>INDEX(tblProdutos[nome_produto], MATCH(tblVendas[[#This Row],[id_produto]], tblProdutos[id_produto]))</f>
        <v>Jaqueta</v>
      </c>
    </row>
    <row r="51" spans="1:14" x14ac:dyDescent="0.25">
      <c r="A51">
        <v>50</v>
      </c>
      <c r="B51">
        <v>8</v>
      </c>
      <c r="C51">
        <v>6</v>
      </c>
      <c r="D51" s="1">
        <v>45341</v>
      </c>
      <c r="E51" s="2" t="s">
        <v>5</v>
      </c>
      <c r="F51" t="str">
        <f>IFERROR(VLOOKUP(tblVendas[[#This Row],[id_produto]], tblProdutos[], 2, 0), "Produto não cadastrado")</f>
        <v>Regata</v>
      </c>
      <c r="G51" s="3">
        <f>IFERROR(VLOOKUP(tblVendas[[#This Row],[id_produto]], tblProdutos[], 4, 0), "Produto não cadastrado")</f>
        <v>111</v>
      </c>
      <c r="H51" s="6" t="str">
        <f>IFERROR(VLOOKUP(tblVendas[[#This Row],[id_produto]], tblProdutos[], 3, 0), "Produto não cadastrado")</f>
        <v>Vestuário</v>
      </c>
      <c r="I51" s="3">
        <f>tblVendas[[#This Row],[quantidade]]*tblVendas[[#This Row],[preco_unitario]]</f>
        <v>666</v>
      </c>
      <c r="J51" t="str">
        <f>_xlfn.XLOOKUP(tblVendas[[#This Row],[id_produto]], tblProdutos[id_produto], tblProdutos[nome_produto], "Não encontrado")</f>
        <v>Regata</v>
      </c>
      <c r="K51" t="str">
        <f>_xlfn.XLOOKUP(tblVendas[[#This Row],[vendedor]], tblVendedores[vendedor], tblVendedores[regiao], "Não encontrado")</f>
        <v>Sudeste</v>
      </c>
      <c r="L51">
        <f>MATCH(tblVendas[[#This Row],[id_produto]], tblProdutos[id_produto])</f>
        <v>8</v>
      </c>
      <c r="M51" s="2" t="str" cm="1">
        <f t="array" ref="M51">INDEX(tblProdutos[nome_produto], tblVendas[[#This Row],[posicao]])</f>
        <v>Regata</v>
      </c>
      <c r="N51" s="2" t="str">
        <f>INDEX(tblProdutos[nome_produto], MATCH(tblVendas[[#This Row],[id_produto]], tblProdutos[id_produto]))</f>
        <v>Regata</v>
      </c>
    </row>
    <row r="52" spans="1:14" x14ac:dyDescent="0.25">
      <c r="A52">
        <v>51</v>
      </c>
      <c r="B52">
        <v>3</v>
      </c>
      <c r="C52">
        <v>8</v>
      </c>
      <c r="D52" s="1">
        <v>45342</v>
      </c>
      <c r="E52" s="2" t="s">
        <v>5</v>
      </c>
      <c r="F52" t="str">
        <f>IFERROR(VLOOKUP(tblVendas[[#This Row],[id_produto]], tblProdutos[], 2, 0), "Produto não cadastrado")</f>
        <v>Tênis</v>
      </c>
      <c r="G52" s="3">
        <f>IFERROR(VLOOKUP(tblVendas[[#This Row],[id_produto]], tblProdutos[], 4, 0), "Produto não cadastrado")</f>
        <v>186</v>
      </c>
      <c r="H52" s="6" t="str">
        <f>IFERROR(VLOOKUP(tblVendas[[#This Row],[id_produto]], tblProdutos[], 3, 0), "Produto não cadastrado")</f>
        <v>Vestuário</v>
      </c>
      <c r="I52" s="3">
        <f>tblVendas[[#This Row],[quantidade]]*tblVendas[[#This Row],[preco_unitario]]</f>
        <v>1488</v>
      </c>
      <c r="J52" t="str">
        <f>_xlfn.XLOOKUP(tblVendas[[#This Row],[id_produto]], tblProdutos[id_produto], tblProdutos[nome_produto], "Não encontrado")</f>
        <v>Tênis</v>
      </c>
      <c r="K52" t="str">
        <f>_xlfn.XLOOKUP(tblVendas[[#This Row],[vendedor]], tblVendedores[vendedor], tblVendedores[regiao], "Não encontrado")</f>
        <v>Sudeste</v>
      </c>
      <c r="L52">
        <f>MATCH(tblVendas[[#This Row],[id_produto]], tblProdutos[id_produto])</f>
        <v>3</v>
      </c>
      <c r="M52" s="2" t="str" cm="1">
        <f t="array" ref="M52">INDEX(tblProdutos[nome_produto], tblVendas[[#This Row],[posicao]])</f>
        <v>Tênis</v>
      </c>
      <c r="N52" s="2" t="str">
        <f>INDEX(tblProdutos[nome_produto], MATCH(tblVendas[[#This Row],[id_produto]], tblProdutos[id_produto]))</f>
        <v>Tênis</v>
      </c>
    </row>
    <row r="53" spans="1:14" x14ac:dyDescent="0.25">
      <c r="A53">
        <v>52</v>
      </c>
      <c r="B53">
        <v>1</v>
      </c>
      <c r="C53">
        <v>4</v>
      </c>
      <c r="D53" s="1">
        <v>45343</v>
      </c>
      <c r="E53" s="2" t="s">
        <v>8</v>
      </c>
      <c r="F53" t="str">
        <f>IFERROR(VLOOKUP(tblVendas[[#This Row],[id_produto]], tblProdutos[], 2, 0), "Produto não cadastrado")</f>
        <v>Camiseta</v>
      </c>
      <c r="G53" s="3">
        <f>IFERROR(VLOOKUP(tblVendas[[#This Row],[id_produto]], tblProdutos[], 4, 0), "Produto não cadastrado")</f>
        <v>174</v>
      </c>
      <c r="H53" s="6" t="str">
        <f>IFERROR(VLOOKUP(tblVendas[[#This Row],[id_produto]], tblProdutos[], 3, 0), "Produto não cadastrado")</f>
        <v>Calçados</v>
      </c>
      <c r="I53" s="3">
        <f>tblVendas[[#This Row],[quantidade]]*tblVendas[[#This Row],[preco_unitario]]</f>
        <v>696</v>
      </c>
      <c r="J53" t="str">
        <f>_xlfn.XLOOKUP(tblVendas[[#This Row],[id_produto]], tblProdutos[id_produto], tblProdutos[nome_produto], "Não encontrado")</f>
        <v>Camiseta</v>
      </c>
      <c r="K53" t="str">
        <f>_xlfn.XLOOKUP(tblVendas[[#This Row],[vendedor]], tblVendedores[vendedor], tblVendedores[regiao], "Não encontrado")</f>
        <v>Nordeste</v>
      </c>
      <c r="L53">
        <f>MATCH(tblVendas[[#This Row],[id_produto]], tblProdutos[id_produto])</f>
        <v>1</v>
      </c>
      <c r="M53" s="2" t="str" cm="1">
        <f t="array" ref="M53">INDEX(tblProdutos[nome_produto], tblVendas[[#This Row],[posicao]])</f>
        <v>Camiseta</v>
      </c>
      <c r="N53" s="2" t="str">
        <f>INDEX(tblProdutos[nome_produto], MATCH(tblVendas[[#This Row],[id_produto]], tblProdutos[id_produto]))</f>
        <v>Camiseta</v>
      </c>
    </row>
    <row r="54" spans="1:14" x14ac:dyDescent="0.25">
      <c r="A54">
        <v>53</v>
      </c>
      <c r="B54">
        <v>4</v>
      </c>
      <c r="C54">
        <v>3</v>
      </c>
      <c r="D54" s="1">
        <v>45344</v>
      </c>
      <c r="E54" s="2" t="s">
        <v>9</v>
      </c>
      <c r="F54" t="str">
        <f>IFERROR(VLOOKUP(tblVendas[[#This Row],[id_produto]], tblProdutos[], 2, 0), "Produto não cadastrado")</f>
        <v>Boné</v>
      </c>
      <c r="G54" s="3">
        <f>IFERROR(VLOOKUP(tblVendas[[#This Row],[id_produto]], tblProdutos[], 4, 0), "Produto não cadastrado")</f>
        <v>170</v>
      </c>
      <c r="H54" s="6" t="str">
        <f>IFERROR(VLOOKUP(tblVendas[[#This Row],[id_produto]], tblProdutos[], 3, 0), "Produto não cadastrado")</f>
        <v>Calçados</v>
      </c>
      <c r="I54" s="3">
        <f>tblVendas[[#This Row],[quantidade]]*tblVendas[[#This Row],[preco_unitario]]</f>
        <v>510</v>
      </c>
      <c r="J54" t="str">
        <f>_xlfn.XLOOKUP(tblVendas[[#This Row],[id_produto]], tblProdutos[id_produto], tblProdutos[nome_produto], "Não encontrado")</f>
        <v>Boné</v>
      </c>
      <c r="K54" t="str">
        <f>_xlfn.XLOOKUP(tblVendas[[#This Row],[vendedor]], tblVendedores[vendedor], tblVendedores[regiao], "Não encontrado")</f>
        <v>Sul</v>
      </c>
      <c r="L54">
        <f>MATCH(tblVendas[[#This Row],[id_produto]], tblProdutos[id_produto])</f>
        <v>4</v>
      </c>
      <c r="M54" s="2" t="str" cm="1">
        <f t="array" ref="M54">INDEX(tblProdutos[nome_produto], tblVendas[[#This Row],[posicao]])</f>
        <v>Boné</v>
      </c>
      <c r="N54" s="2" t="str">
        <f>INDEX(tblProdutos[nome_produto], MATCH(tblVendas[[#This Row],[id_produto]], tblProdutos[id_produto]))</f>
        <v>Boné</v>
      </c>
    </row>
    <row r="55" spans="1:14" x14ac:dyDescent="0.25">
      <c r="A55">
        <v>54</v>
      </c>
      <c r="B55">
        <v>2</v>
      </c>
      <c r="C55">
        <v>9</v>
      </c>
      <c r="D55" s="1">
        <v>45345</v>
      </c>
      <c r="E55" s="2" t="s">
        <v>7</v>
      </c>
      <c r="F55" t="str">
        <f>IFERROR(VLOOKUP(tblVendas[[#This Row],[id_produto]], tblProdutos[], 2, 0), "Produto não cadastrado")</f>
        <v>Calça Jeans</v>
      </c>
      <c r="G55" s="3">
        <f>IFERROR(VLOOKUP(tblVendas[[#This Row],[id_produto]], tblProdutos[], 4, 0), "Produto não cadastrado")</f>
        <v>190</v>
      </c>
      <c r="H55" s="6" t="str">
        <f>IFERROR(VLOOKUP(tblVendas[[#This Row],[id_produto]], tblProdutos[], 3, 0), "Produto não cadastrado")</f>
        <v>Calçados</v>
      </c>
      <c r="I55" s="3">
        <f>tblVendas[[#This Row],[quantidade]]*tblVendas[[#This Row],[preco_unitario]]</f>
        <v>1710</v>
      </c>
      <c r="J55" t="str">
        <f>_xlfn.XLOOKUP(tblVendas[[#This Row],[id_produto]], tblProdutos[id_produto], tblProdutos[nome_produto], "Não encontrado")</f>
        <v>Calça Jeans</v>
      </c>
      <c r="K55" t="str">
        <f>_xlfn.XLOOKUP(tblVendas[[#This Row],[vendedor]], tblVendedores[vendedor], tblVendedores[regiao], "Não encontrado")</f>
        <v>Norte</v>
      </c>
      <c r="L55">
        <f>MATCH(tblVendas[[#This Row],[id_produto]], tblProdutos[id_produto])</f>
        <v>2</v>
      </c>
      <c r="M55" s="2" t="str" cm="1">
        <f t="array" ref="M55">INDEX(tblProdutos[nome_produto], tblVendas[[#This Row],[posicao]])</f>
        <v>Calça Jeans</v>
      </c>
      <c r="N55" s="2" t="str">
        <f>INDEX(tblProdutos[nome_produto], MATCH(tblVendas[[#This Row],[id_produto]], tblProdutos[id_produto]))</f>
        <v>Calça Jeans</v>
      </c>
    </row>
    <row r="56" spans="1:14" x14ac:dyDescent="0.25">
      <c r="A56">
        <v>55</v>
      </c>
      <c r="B56">
        <v>8</v>
      </c>
      <c r="C56">
        <v>3</v>
      </c>
      <c r="D56" s="1">
        <v>45346</v>
      </c>
      <c r="E56" s="2" t="s">
        <v>5</v>
      </c>
      <c r="F56" t="str">
        <f>IFERROR(VLOOKUP(tblVendas[[#This Row],[id_produto]], tblProdutos[], 2, 0), "Produto não cadastrado")</f>
        <v>Regata</v>
      </c>
      <c r="G56" s="3">
        <f>IFERROR(VLOOKUP(tblVendas[[#This Row],[id_produto]], tblProdutos[], 4, 0), "Produto não cadastrado")</f>
        <v>111</v>
      </c>
      <c r="H56" s="6" t="str">
        <f>IFERROR(VLOOKUP(tblVendas[[#This Row],[id_produto]], tblProdutos[], 3, 0), "Produto não cadastrado")</f>
        <v>Vestuário</v>
      </c>
      <c r="I56" s="3">
        <f>tblVendas[[#This Row],[quantidade]]*tblVendas[[#This Row],[preco_unitario]]</f>
        <v>333</v>
      </c>
      <c r="J56" t="str">
        <f>_xlfn.XLOOKUP(tblVendas[[#This Row],[id_produto]], tblProdutos[id_produto], tblProdutos[nome_produto], "Não encontrado")</f>
        <v>Regata</v>
      </c>
      <c r="K56" t="str">
        <f>_xlfn.XLOOKUP(tblVendas[[#This Row],[vendedor]], tblVendedores[vendedor], tblVendedores[regiao], "Não encontrado")</f>
        <v>Sudeste</v>
      </c>
      <c r="L56">
        <f>MATCH(tblVendas[[#This Row],[id_produto]], tblProdutos[id_produto])</f>
        <v>8</v>
      </c>
      <c r="M56" s="2" t="str" cm="1">
        <f t="array" ref="M56">INDEX(tblProdutos[nome_produto], tblVendas[[#This Row],[posicao]])</f>
        <v>Regata</v>
      </c>
      <c r="N56" s="2" t="str">
        <f>INDEX(tblProdutos[nome_produto], MATCH(tblVendas[[#This Row],[id_produto]], tblProdutos[id_produto]))</f>
        <v>Regata</v>
      </c>
    </row>
    <row r="57" spans="1:14" x14ac:dyDescent="0.25">
      <c r="A57">
        <v>56</v>
      </c>
      <c r="B57">
        <v>4</v>
      </c>
      <c r="C57">
        <v>9</v>
      </c>
      <c r="D57" s="1">
        <v>45347</v>
      </c>
      <c r="E57" s="2" t="s">
        <v>6</v>
      </c>
      <c r="F57" t="str">
        <f>IFERROR(VLOOKUP(tblVendas[[#This Row],[id_produto]], tblProdutos[], 2, 0), "Produto não cadastrado")</f>
        <v>Boné</v>
      </c>
      <c r="G57" s="3">
        <f>IFERROR(VLOOKUP(tblVendas[[#This Row],[id_produto]], tblProdutos[], 4, 0), "Produto não cadastrado")</f>
        <v>170</v>
      </c>
      <c r="H57" s="6" t="str">
        <f>IFERROR(VLOOKUP(tblVendas[[#This Row],[id_produto]], tblProdutos[], 3, 0), "Produto não cadastrado")</f>
        <v>Calçados</v>
      </c>
      <c r="I57" s="3">
        <f>tblVendas[[#This Row],[quantidade]]*tblVendas[[#This Row],[preco_unitario]]</f>
        <v>1530</v>
      </c>
      <c r="J57" t="str">
        <f>_xlfn.XLOOKUP(tblVendas[[#This Row],[id_produto]], tblProdutos[id_produto], tblProdutos[nome_produto], "Não encontrado")</f>
        <v>Boné</v>
      </c>
      <c r="K57" t="str">
        <f>_xlfn.XLOOKUP(tblVendas[[#This Row],[vendedor]], tblVendedores[vendedor], tblVendedores[regiao], "Não encontrado")</f>
        <v>Centro-Oeste</v>
      </c>
      <c r="L57">
        <f>MATCH(tblVendas[[#This Row],[id_produto]], tblProdutos[id_produto])</f>
        <v>4</v>
      </c>
      <c r="M57" s="2" t="str" cm="1">
        <f t="array" ref="M57">INDEX(tblProdutos[nome_produto], tblVendas[[#This Row],[posicao]])</f>
        <v>Boné</v>
      </c>
      <c r="N57" s="2" t="str">
        <f>INDEX(tblProdutos[nome_produto], MATCH(tblVendas[[#This Row],[id_produto]], tblProdutos[id_produto]))</f>
        <v>Boné</v>
      </c>
    </row>
    <row r="58" spans="1:14" x14ac:dyDescent="0.25">
      <c r="A58">
        <v>57</v>
      </c>
      <c r="B58">
        <v>2</v>
      </c>
      <c r="C58">
        <v>2</v>
      </c>
      <c r="D58" s="1">
        <v>45348</v>
      </c>
      <c r="E58" s="2" t="s">
        <v>5</v>
      </c>
      <c r="F58" t="str">
        <f>IFERROR(VLOOKUP(tblVendas[[#This Row],[id_produto]], tblProdutos[], 2, 0), "Produto não cadastrado")</f>
        <v>Calça Jeans</v>
      </c>
      <c r="G58" s="3">
        <f>IFERROR(VLOOKUP(tblVendas[[#This Row],[id_produto]], tblProdutos[], 4, 0), "Produto não cadastrado")</f>
        <v>190</v>
      </c>
      <c r="H58" s="6" t="str">
        <f>IFERROR(VLOOKUP(tblVendas[[#This Row],[id_produto]], tblProdutos[], 3, 0), "Produto não cadastrado")</f>
        <v>Calçados</v>
      </c>
      <c r="I58" s="3">
        <f>tblVendas[[#This Row],[quantidade]]*tblVendas[[#This Row],[preco_unitario]]</f>
        <v>380</v>
      </c>
      <c r="J58" t="str">
        <f>_xlfn.XLOOKUP(tblVendas[[#This Row],[id_produto]], tblProdutos[id_produto], tblProdutos[nome_produto], "Não encontrado")</f>
        <v>Calça Jeans</v>
      </c>
      <c r="K58" t="str">
        <f>_xlfn.XLOOKUP(tblVendas[[#This Row],[vendedor]], tblVendedores[vendedor], tblVendedores[regiao], "Não encontrado")</f>
        <v>Sudeste</v>
      </c>
      <c r="L58">
        <f>MATCH(tblVendas[[#This Row],[id_produto]], tblProdutos[id_produto])</f>
        <v>2</v>
      </c>
      <c r="M58" s="2" t="str" cm="1">
        <f t="array" ref="M58">INDEX(tblProdutos[nome_produto], tblVendas[[#This Row],[posicao]])</f>
        <v>Calça Jeans</v>
      </c>
      <c r="N58" s="2" t="str">
        <f>INDEX(tblProdutos[nome_produto], MATCH(tblVendas[[#This Row],[id_produto]], tblProdutos[id_produto]))</f>
        <v>Calça Jeans</v>
      </c>
    </row>
    <row r="59" spans="1:14" x14ac:dyDescent="0.25">
      <c r="A59">
        <v>58</v>
      </c>
      <c r="B59">
        <v>6</v>
      </c>
      <c r="C59">
        <v>2</v>
      </c>
      <c r="D59" s="1">
        <v>45349</v>
      </c>
      <c r="E59" s="2" t="s">
        <v>6</v>
      </c>
      <c r="F59" t="str">
        <f>IFERROR(VLOOKUP(tblVendas[[#This Row],[id_produto]], tblProdutos[], 2, 0), "Produto não cadastrado")</f>
        <v>Bermuda</v>
      </c>
      <c r="G59" s="3">
        <f>IFERROR(VLOOKUP(tblVendas[[#This Row],[id_produto]], tblProdutos[], 4, 0), "Produto não cadastrado")</f>
        <v>64</v>
      </c>
      <c r="H59" s="6" t="str">
        <f>IFERROR(VLOOKUP(tblVendas[[#This Row],[id_produto]], tblProdutos[], 3, 0), "Produto não cadastrado")</f>
        <v>Calçados</v>
      </c>
      <c r="I59" s="3">
        <f>tblVendas[[#This Row],[quantidade]]*tblVendas[[#This Row],[preco_unitario]]</f>
        <v>128</v>
      </c>
      <c r="J59" t="str">
        <f>_xlfn.XLOOKUP(tblVendas[[#This Row],[id_produto]], tblProdutos[id_produto], tblProdutos[nome_produto], "Não encontrado")</f>
        <v>Bermuda</v>
      </c>
      <c r="K59" t="str">
        <f>_xlfn.XLOOKUP(tblVendas[[#This Row],[vendedor]], tblVendedores[vendedor], tblVendedores[regiao], "Não encontrado")</f>
        <v>Centro-Oeste</v>
      </c>
      <c r="L59">
        <f>MATCH(tblVendas[[#This Row],[id_produto]], tblProdutos[id_produto])</f>
        <v>6</v>
      </c>
      <c r="M59" s="2" t="str" cm="1">
        <f t="array" ref="M59">INDEX(tblProdutos[nome_produto], tblVendas[[#This Row],[posicao]])</f>
        <v>Bermuda</v>
      </c>
      <c r="N59" s="2" t="str">
        <f>INDEX(tblProdutos[nome_produto], MATCH(tblVendas[[#This Row],[id_produto]], tblProdutos[id_produto]))</f>
        <v>Bermuda</v>
      </c>
    </row>
    <row r="60" spans="1:14" x14ac:dyDescent="0.25">
      <c r="A60">
        <v>59</v>
      </c>
      <c r="B60">
        <v>6</v>
      </c>
      <c r="C60">
        <v>2</v>
      </c>
      <c r="D60" s="1">
        <v>45350</v>
      </c>
      <c r="E60" s="2" t="s">
        <v>8</v>
      </c>
      <c r="F60" t="str">
        <f>IFERROR(VLOOKUP(tblVendas[[#This Row],[id_produto]], tblProdutos[], 2, 0), "Produto não cadastrado")</f>
        <v>Bermuda</v>
      </c>
      <c r="G60" s="3">
        <f>IFERROR(VLOOKUP(tblVendas[[#This Row],[id_produto]], tblProdutos[], 4, 0), "Produto não cadastrado")</f>
        <v>64</v>
      </c>
      <c r="H60" s="6" t="str">
        <f>IFERROR(VLOOKUP(tblVendas[[#This Row],[id_produto]], tblProdutos[], 3, 0), "Produto não cadastrado")</f>
        <v>Calçados</v>
      </c>
      <c r="I60" s="3">
        <f>tblVendas[[#This Row],[quantidade]]*tblVendas[[#This Row],[preco_unitario]]</f>
        <v>128</v>
      </c>
      <c r="J60" t="str">
        <f>_xlfn.XLOOKUP(tblVendas[[#This Row],[id_produto]], tblProdutos[id_produto], tblProdutos[nome_produto], "Não encontrado")</f>
        <v>Bermuda</v>
      </c>
      <c r="K60" t="str">
        <f>_xlfn.XLOOKUP(tblVendas[[#This Row],[vendedor]], tblVendedores[vendedor], tblVendedores[regiao], "Não encontrado")</f>
        <v>Nordeste</v>
      </c>
      <c r="L60">
        <f>MATCH(tblVendas[[#This Row],[id_produto]], tblProdutos[id_produto])</f>
        <v>6</v>
      </c>
      <c r="M60" s="2" t="str" cm="1">
        <f t="array" ref="M60">INDEX(tblProdutos[nome_produto], tblVendas[[#This Row],[posicao]])</f>
        <v>Bermuda</v>
      </c>
      <c r="N60" s="2" t="str">
        <f>INDEX(tblProdutos[nome_produto], MATCH(tblVendas[[#This Row],[id_produto]], tblProdutos[id_produto]))</f>
        <v>Bermuda</v>
      </c>
    </row>
    <row r="61" spans="1:14" x14ac:dyDescent="0.25">
      <c r="A61">
        <v>60</v>
      </c>
      <c r="B61">
        <v>10</v>
      </c>
      <c r="C61">
        <v>6</v>
      </c>
      <c r="D61" s="1">
        <v>45351</v>
      </c>
      <c r="E61" s="2" t="s">
        <v>6</v>
      </c>
      <c r="F61" t="str">
        <f>IFERROR(VLOOKUP(tblVendas[[#This Row],[id_produto]], tblProdutos[], 2, 0), "Produto não cadastrado")</f>
        <v>Cinto</v>
      </c>
      <c r="G61" s="3">
        <f>IFERROR(VLOOKUP(tblVendas[[#This Row],[id_produto]], tblProdutos[], 4, 0), "Produto não cadastrado")</f>
        <v>76</v>
      </c>
      <c r="H61" s="6" t="str">
        <f>IFERROR(VLOOKUP(tblVendas[[#This Row],[id_produto]], tblProdutos[], 3, 0), "Produto não cadastrado")</f>
        <v>Acessórios</v>
      </c>
      <c r="I61" s="3">
        <f>tblVendas[[#This Row],[quantidade]]*tblVendas[[#This Row],[preco_unitario]]</f>
        <v>456</v>
      </c>
      <c r="J61" t="str">
        <f>_xlfn.XLOOKUP(tblVendas[[#This Row],[id_produto]], tblProdutos[id_produto], tblProdutos[nome_produto], "Não encontrado")</f>
        <v>Cinto</v>
      </c>
      <c r="K61" t="str">
        <f>_xlfn.XLOOKUP(tblVendas[[#This Row],[vendedor]], tblVendedores[vendedor], tblVendedores[regiao], "Não encontrado")</f>
        <v>Centro-Oeste</v>
      </c>
      <c r="L61">
        <f>MATCH(tblVendas[[#This Row],[id_produto]], tblProdutos[id_produto])</f>
        <v>10</v>
      </c>
      <c r="M61" s="2" t="str" cm="1">
        <f t="array" ref="M61">INDEX(tblProdutos[nome_produto], tblVendas[[#This Row],[posicao]])</f>
        <v>Cinto</v>
      </c>
      <c r="N61" s="2" t="str">
        <f>INDEX(tblProdutos[nome_produto], MATCH(tblVendas[[#This Row],[id_produto]], tblProdutos[id_produto]))</f>
        <v>Cinto</v>
      </c>
    </row>
    <row r="62" spans="1:14" x14ac:dyDescent="0.25">
      <c r="A62">
        <v>61</v>
      </c>
      <c r="B62">
        <v>4</v>
      </c>
      <c r="C62">
        <v>3</v>
      </c>
      <c r="D62" s="1">
        <v>45352</v>
      </c>
      <c r="E62" s="2" t="s">
        <v>7</v>
      </c>
      <c r="F62" t="str">
        <f>IFERROR(VLOOKUP(tblVendas[[#This Row],[id_produto]], tblProdutos[], 2, 0), "Produto não cadastrado")</f>
        <v>Boné</v>
      </c>
      <c r="G62" s="3">
        <f>IFERROR(VLOOKUP(tblVendas[[#This Row],[id_produto]], tblProdutos[], 4, 0), "Produto não cadastrado")</f>
        <v>170</v>
      </c>
      <c r="H62" s="6" t="str">
        <f>IFERROR(VLOOKUP(tblVendas[[#This Row],[id_produto]], tblProdutos[], 3, 0), "Produto não cadastrado")</f>
        <v>Calçados</v>
      </c>
      <c r="I62" s="3">
        <f>tblVendas[[#This Row],[quantidade]]*tblVendas[[#This Row],[preco_unitario]]</f>
        <v>510</v>
      </c>
      <c r="J62" t="str">
        <f>_xlfn.XLOOKUP(tblVendas[[#This Row],[id_produto]], tblProdutos[id_produto], tblProdutos[nome_produto], "Não encontrado")</f>
        <v>Boné</v>
      </c>
      <c r="K62" t="str">
        <f>_xlfn.XLOOKUP(tblVendas[[#This Row],[vendedor]], tblVendedores[vendedor], tblVendedores[regiao], "Não encontrado")</f>
        <v>Norte</v>
      </c>
      <c r="L62">
        <f>MATCH(tblVendas[[#This Row],[id_produto]], tblProdutos[id_produto])</f>
        <v>4</v>
      </c>
      <c r="M62" s="2" t="str" cm="1">
        <f t="array" ref="M62">INDEX(tblProdutos[nome_produto], tblVendas[[#This Row],[posicao]])</f>
        <v>Boné</v>
      </c>
      <c r="N62" s="2" t="str">
        <f>INDEX(tblProdutos[nome_produto], MATCH(tblVendas[[#This Row],[id_produto]], tblProdutos[id_produto]))</f>
        <v>Boné</v>
      </c>
    </row>
    <row r="63" spans="1:14" x14ac:dyDescent="0.25">
      <c r="A63">
        <v>62</v>
      </c>
      <c r="B63">
        <v>6</v>
      </c>
      <c r="C63">
        <v>9</v>
      </c>
      <c r="D63" s="1">
        <v>45353</v>
      </c>
      <c r="E63" s="2" t="s">
        <v>9</v>
      </c>
      <c r="F63" t="str">
        <f>IFERROR(VLOOKUP(tblVendas[[#This Row],[id_produto]], tblProdutos[], 2, 0), "Produto não cadastrado")</f>
        <v>Bermuda</v>
      </c>
      <c r="G63" s="3">
        <f>IFERROR(VLOOKUP(tblVendas[[#This Row],[id_produto]], tblProdutos[], 4, 0), "Produto não cadastrado")</f>
        <v>64</v>
      </c>
      <c r="H63" s="6" t="str">
        <f>IFERROR(VLOOKUP(tblVendas[[#This Row],[id_produto]], tblProdutos[], 3, 0), "Produto não cadastrado")</f>
        <v>Calçados</v>
      </c>
      <c r="I63" s="3">
        <f>tblVendas[[#This Row],[quantidade]]*tblVendas[[#This Row],[preco_unitario]]</f>
        <v>576</v>
      </c>
      <c r="J63" t="str">
        <f>_xlfn.XLOOKUP(tblVendas[[#This Row],[id_produto]], tblProdutos[id_produto], tblProdutos[nome_produto], "Não encontrado")</f>
        <v>Bermuda</v>
      </c>
      <c r="K63" t="str">
        <f>_xlfn.XLOOKUP(tblVendas[[#This Row],[vendedor]], tblVendedores[vendedor], tblVendedores[regiao], "Não encontrado")</f>
        <v>Sul</v>
      </c>
      <c r="L63">
        <f>MATCH(tblVendas[[#This Row],[id_produto]], tblProdutos[id_produto])</f>
        <v>6</v>
      </c>
      <c r="M63" s="2" t="str" cm="1">
        <f t="array" ref="M63">INDEX(tblProdutos[nome_produto], tblVendas[[#This Row],[posicao]])</f>
        <v>Bermuda</v>
      </c>
      <c r="N63" s="2" t="str">
        <f>INDEX(tblProdutos[nome_produto], MATCH(tblVendas[[#This Row],[id_produto]], tblProdutos[id_produto]))</f>
        <v>Bermuda</v>
      </c>
    </row>
    <row r="64" spans="1:14" x14ac:dyDescent="0.25">
      <c r="A64">
        <v>63</v>
      </c>
      <c r="B64">
        <v>2</v>
      </c>
      <c r="C64">
        <v>4</v>
      </c>
      <c r="D64" s="1">
        <v>45354</v>
      </c>
      <c r="E64" s="2" t="s">
        <v>6</v>
      </c>
      <c r="F64" t="str">
        <f>IFERROR(VLOOKUP(tblVendas[[#This Row],[id_produto]], tblProdutos[], 2, 0), "Produto não cadastrado")</f>
        <v>Calça Jeans</v>
      </c>
      <c r="G64" s="3">
        <f>IFERROR(VLOOKUP(tblVendas[[#This Row],[id_produto]], tblProdutos[], 4, 0), "Produto não cadastrado")</f>
        <v>190</v>
      </c>
      <c r="H64" s="6" t="str">
        <f>IFERROR(VLOOKUP(tblVendas[[#This Row],[id_produto]], tblProdutos[], 3, 0), "Produto não cadastrado")</f>
        <v>Calçados</v>
      </c>
      <c r="I64" s="3">
        <f>tblVendas[[#This Row],[quantidade]]*tblVendas[[#This Row],[preco_unitario]]</f>
        <v>760</v>
      </c>
      <c r="J64" t="str">
        <f>_xlfn.XLOOKUP(tblVendas[[#This Row],[id_produto]], tblProdutos[id_produto], tblProdutos[nome_produto], "Não encontrado")</f>
        <v>Calça Jeans</v>
      </c>
      <c r="K64" t="str">
        <f>_xlfn.XLOOKUP(tblVendas[[#This Row],[vendedor]], tblVendedores[vendedor], tblVendedores[regiao], "Não encontrado")</f>
        <v>Centro-Oeste</v>
      </c>
      <c r="L64">
        <f>MATCH(tblVendas[[#This Row],[id_produto]], tblProdutos[id_produto])</f>
        <v>2</v>
      </c>
      <c r="M64" s="2" t="str" cm="1">
        <f t="array" ref="M64">INDEX(tblProdutos[nome_produto], tblVendas[[#This Row],[posicao]])</f>
        <v>Calça Jeans</v>
      </c>
      <c r="N64" s="2" t="str">
        <f>INDEX(tblProdutos[nome_produto], MATCH(tblVendas[[#This Row],[id_produto]], tblProdutos[id_produto]))</f>
        <v>Calça Jeans</v>
      </c>
    </row>
    <row r="65" spans="1:14" x14ac:dyDescent="0.25">
      <c r="A65">
        <v>64</v>
      </c>
      <c r="B65">
        <v>10</v>
      </c>
      <c r="C65">
        <v>1</v>
      </c>
      <c r="D65" s="1">
        <v>45355</v>
      </c>
      <c r="E65" s="2" t="s">
        <v>6</v>
      </c>
      <c r="F65" t="str">
        <f>IFERROR(VLOOKUP(tblVendas[[#This Row],[id_produto]], tblProdutos[], 2, 0), "Produto não cadastrado")</f>
        <v>Cinto</v>
      </c>
      <c r="G65" s="3">
        <f>IFERROR(VLOOKUP(tblVendas[[#This Row],[id_produto]], tblProdutos[], 4, 0), "Produto não cadastrado")</f>
        <v>76</v>
      </c>
      <c r="H65" s="6" t="str">
        <f>IFERROR(VLOOKUP(tblVendas[[#This Row],[id_produto]], tblProdutos[], 3, 0), "Produto não cadastrado")</f>
        <v>Acessórios</v>
      </c>
      <c r="I65" s="3">
        <f>tblVendas[[#This Row],[quantidade]]*tblVendas[[#This Row],[preco_unitario]]</f>
        <v>76</v>
      </c>
      <c r="J65" t="str">
        <f>_xlfn.XLOOKUP(tblVendas[[#This Row],[id_produto]], tblProdutos[id_produto], tblProdutos[nome_produto], "Não encontrado")</f>
        <v>Cinto</v>
      </c>
      <c r="K65" t="str">
        <f>_xlfn.XLOOKUP(tblVendas[[#This Row],[vendedor]], tblVendedores[vendedor], tblVendedores[regiao], "Não encontrado")</f>
        <v>Centro-Oeste</v>
      </c>
      <c r="L65">
        <f>MATCH(tblVendas[[#This Row],[id_produto]], tblProdutos[id_produto])</f>
        <v>10</v>
      </c>
      <c r="M65" s="2" t="str" cm="1">
        <f t="array" ref="M65">INDEX(tblProdutos[nome_produto], tblVendas[[#This Row],[posicao]])</f>
        <v>Cinto</v>
      </c>
      <c r="N65" s="2" t="str">
        <f>INDEX(tblProdutos[nome_produto], MATCH(tblVendas[[#This Row],[id_produto]], tblProdutos[id_produto]))</f>
        <v>Cinto</v>
      </c>
    </row>
    <row r="66" spans="1:14" x14ac:dyDescent="0.25">
      <c r="A66">
        <v>65</v>
      </c>
      <c r="B66">
        <v>2</v>
      </c>
      <c r="C66">
        <v>4</v>
      </c>
      <c r="D66" s="1">
        <v>45356</v>
      </c>
      <c r="E66" s="2" t="s">
        <v>9</v>
      </c>
      <c r="F66" t="str">
        <f>IFERROR(VLOOKUP(tblVendas[[#This Row],[id_produto]], tblProdutos[], 2, 0), "Produto não cadastrado")</f>
        <v>Calça Jeans</v>
      </c>
      <c r="G66" s="3">
        <f>IFERROR(VLOOKUP(tblVendas[[#This Row],[id_produto]], tblProdutos[], 4, 0), "Produto não cadastrado")</f>
        <v>190</v>
      </c>
      <c r="H66" s="6" t="str">
        <f>IFERROR(VLOOKUP(tblVendas[[#This Row],[id_produto]], tblProdutos[], 3, 0), "Produto não cadastrado")</f>
        <v>Calçados</v>
      </c>
      <c r="I66" s="3">
        <f>tblVendas[[#This Row],[quantidade]]*tblVendas[[#This Row],[preco_unitario]]</f>
        <v>760</v>
      </c>
      <c r="J66" t="str">
        <f>_xlfn.XLOOKUP(tblVendas[[#This Row],[id_produto]], tblProdutos[id_produto], tblProdutos[nome_produto], "Não encontrado")</f>
        <v>Calça Jeans</v>
      </c>
      <c r="K66" t="str">
        <f>_xlfn.XLOOKUP(tblVendas[[#This Row],[vendedor]], tblVendedores[vendedor], tblVendedores[regiao], "Não encontrado")</f>
        <v>Sul</v>
      </c>
      <c r="L66">
        <f>MATCH(tblVendas[[#This Row],[id_produto]], tblProdutos[id_produto])</f>
        <v>2</v>
      </c>
      <c r="M66" s="2" t="str" cm="1">
        <f t="array" ref="M66">INDEX(tblProdutos[nome_produto], tblVendas[[#This Row],[posicao]])</f>
        <v>Calça Jeans</v>
      </c>
      <c r="N66" s="2" t="str">
        <f>INDEX(tblProdutos[nome_produto], MATCH(tblVendas[[#This Row],[id_produto]], tblProdutos[id_produto]))</f>
        <v>Calça Jeans</v>
      </c>
    </row>
    <row r="67" spans="1:14" x14ac:dyDescent="0.25">
      <c r="A67">
        <v>66</v>
      </c>
      <c r="B67">
        <v>10</v>
      </c>
      <c r="C67">
        <v>1</v>
      </c>
      <c r="D67" s="1">
        <v>45357</v>
      </c>
      <c r="E67" s="2" t="s">
        <v>7</v>
      </c>
      <c r="F67" t="str">
        <f>IFERROR(VLOOKUP(tblVendas[[#This Row],[id_produto]], tblProdutos[], 2, 0), "Produto não cadastrado")</f>
        <v>Cinto</v>
      </c>
      <c r="G67" s="3">
        <f>IFERROR(VLOOKUP(tblVendas[[#This Row],[id_produto]], tblProdutos[], 4, 0), "Produto não cadastrado")</f>
        <v>76</v>
      </c>
      <c r="H67" s="6" t="str">
        <f>IFERROR(VLOOKUP(tblVendas[[#This Row],[id_produto]], tblProdutos[], 3, 0), "Produto não cadastrado")</f>
        <v>Acessórios</v>
      </c>
      <c r="I67" s="3">
        <f>tblVendas[[#This Row],[quantidade]]*tblVendas[[#This Row],[preco_unitario]]</f>
        <v>76</v>
      </c>
      <c r="J67" t="str">
        <f>_xlfn.XLOOKUP(tblVendas[[#This Row],[id_produto]], tblProdutos[id_produto], tblProdutos[nome_produto], "Não encontrado")</f>
        <v>Cinto</v>
      </c>
      <c r="K67" t="str">
        <f>_xlfn.XLOOKUP(tblVendas[[#This Row],[vendedor]], tblVendedores[vendedor], tblVendedores[regiao], "Não encontrado")</f>
        <v>Norte</v>
      </c>
      <c r="L67">
        <f>MATCH(tblVendas[[#This Row],[id_produto]], tblProdutos[id_produto])</f>
        <v>10</v>
      </c>
      <c r="M67" s="2" t="str" cm="1">
        <f t="array" ref="M67">INDEX(tblProdutos[nome_produto], tblVendas[[#This Row],[posicao]])</f>
        <v>Cinto</v>
      </c>
      <c r="N67" s="2" t="str">
        <f>INDEX(tblProdutos[nome_produto], MATCH(tblVendas[[#This Row],[id_produto]], tblProdutos[id_produto]))</f>
        <v>Cinto</v>
      </c>
    </row>
    <row r="68" spans="1:14" x14ac:dyDescent="0.25">
      <c r="A68">
        <v>67</v>
      </c>
      <c r="B68">
        <v>4</v>
      </c>
      <c r="C68">
        <v>5</v>
      </c>
      <c r="D68" s="1">
        <v>45358</v>
      </c>
      <c r="E68" s="2" t="s">
        <v>5</v>
      </c>
      <c r="F68" t="str">
        <f>IFERROR(VLOOKUP(tblVendas[[#This Row],[id_produto]], tblProdutos[], 2, 0), "Produto não cadastrado")</f>
        <v>Boné</v>
      </c>
      <c r="G68" s="3">
        <f>IFERROR(VLOOKUP(tblVendas[[#This Row],[id_produto]], tblProdutos[], 4, 0), "Produto não cadastrado")</f>
        <v>170</v>
      </c>
      <c r="H68" s="6" t="str">
        <f>IFERROR(VLOOKUP(tblVendas[[#This Row],[id_produto]], tblProdutos[], 3, 0), "Produto não cadastrado")</f>
        <v>Calçados</v>
      </c>
      <c r="I68" s="3">
        <f>tblVendas[[#This Row],[quantidade]]*tblVendas[[#This Row],[preco_unitario]]</f>
        <v>850</v>
      </c>
      <c r="J68" t="str">
        <f>_xlfn.XLOOKUP(tblVendas[[#This Row],[id_produto]], tblProdutos[id_produto], tblProdutos[nome_produto], "Não encontrado")</f>
        <v>Boné</v>
      </c>
      <c r="K68" t="str">
        <f>_xlfn.XLOOKUP(tblVendas[[#This Row],[vendedor]], tblVendedores[vendedor], tblVendedores[regiao], "Não encontrado")</f>
        <v>Sudeste</v>
      </c>
      <c r="L68">
        <f>MATCH(tblVendas[[#This Row],[id_produto]], tblProdutos[id_produto])</f>
        <v>4</v>
      </c>
      <c r="M68" s="2" t="str" cm="1">
        <f t="array" ref="M68">INDEX(tblProdutos[nome_produto], tblVendas[[#This Row],[posicao]])</f>
        <v>Boné</v>
      </c>
      <c r="N68" s="2" t="str">
        <f>INDEX(tblProdutos[nome_produto], MATCH(tblVendas[[#This Row],[id_produto]], tblProdutos[id_produto]))</f>
        <v>Boné</v>
      </c>
    </row>
    <row r="69" spans="1:14" x14ac:dyDescent="0.25">
      <c r="A69">
        <v>68</v>
      </c>
      <c r="B69">
        <v>8</v>
      </c>
      <c r="C69">
        <v>4</v>
      </c>
      <c r="D69" s="1">
        <v>45359</v>
      </c>
      <c r="E69" s="2" t="s">
        <v>6</v>
      </c>
      <c r="F69" t="str">
        <f>IFERROR(VLOOKUP(tblVendas[[#This Row],[id_produto]], tblProdutos[], 2, 0), "Produto não cadastrado")</f>
        <v>Regata</v>
      </c>
      <c r="G69" s="3">
        <f>IFERROR(VLOOKUP(tblVendas[[#This Row],[id_produto]], tblProdutos[], 4, 0), "Produto não cadastrado")</f>
        <v>111</v>
      </c>
      <c r="H69" s="6" t="str">
        <f>IFERROR(VLOOKUP(tblVendas[[#This Row],[id_produto]], tblProdutos[], 3, 0), "Produto não cadastrado")</f>
        <v>Vestuário</v>
      </c>
      <c r="I69" s="3">
        <f>tblVendas[[#This Row],[quantidade]]*tblVendas[[#This Row],[preco_unitario]]</f>
        <v>444</v>
      </c>
      <c r="J69" t="str">
        <f>_xlfn.XLOOKUP(tblVendas[[#This Row],[id_produto]], tblProdutos[id_produto], tblProdutos[nome_produto], "Não encontrado")</f>
        <v>Regata</v>
      </c>
      <c r="K69" t="str">
        <f>_xlfn.XLOOKUP(tblVendas[[#This Row],[vendedor]], tblVendedores[vendedor], tblVendedores[regiao], "Não encontrado")</f>
        <v>Centro-Oeste</v>
      </c>
      <c r="L69">
        <f>MATCH(tblVendas[[#This Row],[id_produto]], tblProdutos[id_produto])</f>
        <v>8</v>
      </c>
      <c r="M69" s="2" t="str" cm="1">
        <f t="array" ref="M69">INDEX(tblProdutos[nome_produto], tblVendas[[#This Row],[posicao]])</f>
        <v>Regata</v>
      </c>
      <c r="N69" s="2" t="str">
        <f>INDEX(tblProdutos[nome_produto], MATCH(tblVendas[[#This Row],[id_produto]], tblProdutos[id_produto]))</f>
        <v>Regata</v>
      </c>
    </row>
    <row r="70" spans="1:14" x14ac:dyDescent="0.25">
      <c r="A70">
        <v>69</v>
      </c>
      <c r="B70">
        <v>7</v>
      </c>
      <c r="C70">
        <v>8</v>
      </c>
      <c r="D70" s="1">
        <v>45360</v>
      </c>
      <c r="E70" s="2" t="s">
        <v>9</v>
      </c>
      <c r="F70" t="str">
        <f>IFERROR(VLOOKUP(tblVendas[[#This Row],[id_produto]], tblProdutos[], 2, 0), "Produto não cadastrado")</f>
        <v>Jaqueta</v>
      </c>
      <c r="G70" s="3">
        <f>IFERROR(VLOOKUP(tblVendas[[#This Row],[id_produto]], tblProdutos[], 4, 0), "Produto não cadastrado")</f>
        <v>163</v>
      </c>
      <c r="H70" s="6" t="str">
        <f>IFERROR(VLOOKUP(tblVendas[[#This Row],[id_produto]], tblProdutos[], 3, 0), "Produto não cadastrado")</f>
        <v>Calçados</v>
      </c>
      <c r="I70" s="3">
        <f>tblVendas[[#This Row],[quantidade]]*tblVendas[[#This Row],[preco_unitario]]</f>
        <v>1304</v>
      </c>
      <c r="J70" t="str">
        <f>_xlfn.XLOOKUP(tblVendas[[#This Row],[id_produto]], tblProdutos[id_produto], tblProdutos[nome_produto], "Não encontrado")</f>
        <v>Jaqueta</v>
      </c>
      <c r="K70" t="str">
        <f>_xlfn.XLOOKUP(tblVendas[[#This Row],[vendedor]], tblVendedores[vendedor], tblVendedores[regiao], "Não encontrado")</f>
        <v>Sul</v>
      </c>
      <c r="L70">
        <f>MATCH(tblVendas[[#This Row],[id_produto]], tblProdutos[id_produto])</f>
        <v>7</v>
      </c>
      <c r="M70" s="2" t="str" cm="1">
        <f t="array" ref="M70">INDEX(tblProdutos[nome_produto], tblVendas[[#This Row],[posicao]])</f>
        <v>Jaqueta</v>
      </c>
      <c r="N70" s="2" t="str">
        <f>INDEX(tblProdutos[nome_produto], MATCH(tblVendas[[#This Row],[id_produto]], tblProdutos[id_produto]))</f>
        <v>Jaqueta</v>
      </c>
    </row>
    <row r="71" spans="1:14" x14ac:dyDescent="0.25">
      <c r="A71">
        <v>70</v>
      </c>
      <c r="B71">
        <v>9</v>
      </c>
      <c r="C71">
        <v>8</v>
      </c>
      <c r="D71" s="1">
        <v>45361</v>
      </c>
      <c r="E71" s="2" t="s">
        <v>8</v>
      </c>
      <c r="F71" t="str">
        <f>IFERROR(VLOOKUP(tblVendas[[#This Row],[id_produto]], tblProdutos[], 2, 0), "Produto não cadastrado")</f>
        <v>Meia</v>
      </c>
      <c r="G71" s="3">
        <f>IFERROR(VLOOKUP(tblVendas[[#This Row],[id_produto]], tblProdutos[], 4, 0), "Produto não cadastrado")</f>
        <v>144</v>
      </c>
      <c r="H71" s="6" t="str">
        <f>IFERROR(VLOOKUP(tblVendas[[#This Row],[id_produto]], tblProdutos[], 3, 0), "Produto não cadastrado")</f>
        <v>Vestuário</v>
      </c>
      <c r="I71" s="3">
        <f>tblVendas[[#This Row],[quantidade]]*tblVendas[[#This Row],[preco_unitario]]</f>
        <v>1152</v>
      </c>
      <c r="J71" t="str">
        <f>_xlfn.XLOOKUP(tblVendas[[#This Row],[id_produto]], tblProdutos[id_produto], tblProdutos[nome_produto], "Não encontrado")</f>
        <v>Meia</v>
      </c>
      <c r="K71" t="str">
        <f>_xlfn.XLOOKUP(tblVendas[[#This Row],[vendedor]], tblVendedores[vendedor], tblVendedores[regiao], "Não encontrado")</f>
        <v>Nordeste</v>
      </c>
      <c r="L71">
        <f>MATCH(tblVendas[[#This Row],[id_produto]], tblProdutos[id_produto])</f>
        <v>9</v>
      </c>
      <c r="M71" s="2" t="str" cm="1">
        <f t="array" ref="M71">INDEX(tblProdutos[nome_produto], tblVendas[[#This Row],[posicao]])</f>
        <v>Meia</v>
      </c>
      <c r="N71" s="2" t="str">
        <f>INDEX(tblProdutos[nome_produto], MATCH(tblVendas[[#This Row],[id_produto]], tblProdutos[id_produto]))</f>
        <v>Meia</v>
      </c>
    </row>
    <row r="72" spans="1:14" x14ac:dyDescent="0.25">
      <c r="A72">
        <v>71</v>
      </c>
      <c r="B72">
        <v>8</v>
      </c>
      <c r="C72">
        <v>7</v>
      </c>
      <c r="D72" s="1">
        <v>45362</v>
      </c>
      <c r="E72" s="2" t="s">
        <v>9</v>
      </c>
      <c r="F72" t="str">
        <f>IFERROR(VLOOKUP(tblVendas[[#This Row],[id_produto]], tblProdutos[], 2, 0), "Produto não cadastrado")</f>
        <v>Regata</v>
      </c>
      <c r="G72" s="3">
        <f>IFERROR(VLOOKUP(tblVendas[[#This Row],[id_produto]], tblProdutos[], 4, 0), "Produto não cadastrado")</f>
        <v>111</v>
      </c>
      <c r="H72" s="6" t="str">
        <f>IFERROR(VLOOKUP(tblVendas[[#This Row],[id_produto]], tblProdutos[], 3, 0), "Produto não cadastrado")</f>
        <v>Vestuário</v>
      </c>
      <c r="I72" s="3">
        <f>tblVendas[[#This Row],[quantidade]]*tblVendas[[#This Row],[preco_unitario]]</f>
        <v>777</v>
      </c>
      <c r="J72" t="str">
        <f>_xlfn.XLOOKUP(tblVendas[[#This Row],[id_produto]], tblProdutos[id_produto], tblProdutos[nome_produto], "Não encontrado")</f>
        <v>Regata</v>
      </c>
      <c r="K72" t="str">
        <f>_xlfn.XLOOKUP(tblVendas[[#This Row],[vendedor]], tblVendedores[vendedor], tblVendedores[regiao], "Não encontrado")</f>
        <v>Sul</v>
      </c>
      <c r="L72">
        <f>MATCH(tblVendas[[#This Row],[id_produto]], tblProdutos[id_produto])</f>
        <v>8</v>
      </c>
      <c r="M72" s="2" t="str" cm="1">
        <f t="array" ref="M72">INDEX(tblProdutos[nome_produto], tblVendas[[#This Row],[posicao]])</f>
        <v>Regata</v>
      </c>
      <c r="N72" s="2" t="str">
        <f>INDEX(tblProdutos[nome_produto], MATCH(tblVendas[[#This Row],[id_produto]], tblProdutos[id_produto]))</f>
        <v>Regata</v>
      </c>
    </row>
    <row r="73" spans="1:14" x14ac:dyDescent="0.25">
      <c r="A73">
        <v>72</v>
      </c>
      <c r="B73">
        <v>5</v>
      </c>
      <c r="C73">
        <v>3</v>
      </c>
      <c r="D73" s="1">
        <v>45363</v>
      </c>
      <c r="E73" s="2" t="s">
        <v>8</v>
      </c>
      <c r="F73" t="str">
        <f>IFERROR(VLOOKUP(tblVendas[[#This Row],[id_produto]], tblProdutos[], 2, 0), "Produto não cadastrado")</f>
        <v>Moletom</v>
      </c>
      <c r="G73" s="3">
        <f>IFERROR(VLOOKUP(tblVendas[[#This Row],[id_produto]], tblProdutos[], 4, 0), "Produto não cadastrado")</f>
        <v>75</v>
      </c>
      <c r="H73" s="6" t="str">
        <f>IFERROR(VLOOKUP(tblVendas[[#This Row],[id_produto]], tblProdutos[], 3, 0), "Produto não cadastrado")</f>
        <v>Calçados</v>
      </c>
      <c r="I73" s="3">
        <f>tblVendas[[#This Row],[quantidade]]*tblVendas[[#This Row],[preco_unitario]]</f>
        <v>225</v>
      </c>
      <c r="J73" t="str">
        <f>_xlfn.XLOOKUP(tblVendas[[#This Row],[id_produto]], tblProdutos[id_produto], tblProdutos[nome_produto], "Não encontrado")</f>
        <v>Moletom</v>
      </c>
      <c r="K73" t="str">
        <f>_xlfn.XLOOKUP(tblVendas[[#This Row],[vendedor]], tblVendedores[vendedor], tblVendedores[regiao], "Não encontrado")</f>
        <v>Nordeste</v>
      </c>
      <c r="L73">
        <f>MATCH(tblVendas[[#This Row],[id_produto]], tblProdutos[id_produto])</f>
        <v>5</v>
      </c>
      <c r="M73" s="2" t="str" cm="1">
        <f t="array" ref="M73">INDEX(tblProdutos[nome_produto], tblVendas[[#This Row],[posicao]])</f>
        <v>Moletom</v>
      </c>
      <c r="N73" s="2" t="str">
        <f>INDEX(tblProdutos[nome_produto], MATCH(tblVendas[[#This Row],[id_produto]], tblProdutos[id_produto]))</f>
        <v>Moletom</v>
      </c>
    </row>
    <row r="74" spans="1:14" x14ac:dyDescent="0.25">
      <c r="A74">
        <v>73</v>
      </c>
      <c r="B74">
        <v>2</v>
      </c>
      <c r="C74">
        <v>1</v>
      </c>
      <c r="D74" s="1">
        <v>45364</v>
      </c>
      <c r="E74" s="2" t="s">
        <v>7</v>
      </c>
      <c r="F74" t="str">
        <f>IFERROR(VLOOKUP(tblVendas[[#This Row],[id_produto]], tblProdutos[], 2, 0), "Produto não cadastrado")</f>
        <v>Calça Jeans</v>
      </c>
      <c r="G74" s="3">
        <f>IFERROR(VLOOKUP(tblVendas[[#This Row],[id_produto]], tblProdutos[], 4, 0), "Produto não cadastrado")</f>
        <v>190</v>
      </c>
      <c r="H74" s="6" t="str">
        <f>IFERROR(VLOOKUP(tblVendas[[#This Row],[id_produto]], tblProdutos[], 3, 0), "Produto não cadastrado")</f>
        <v>Calçados</v>
      </c>
      <c r="I74" s="3">
        <f>tblVendas[[#This Row],[quantidade]]*tblVendas[[#This Row],[preco_unitario]]</f>
        <v>190</v>
      </c>
      <c r="J74" t="str">
        <f>_xlfn.XLOOKUP(tblVendas[[#This Row],[id_produto]], tblProdutos[id_produto], tblProdutos[nome_produto], "Não encontrado")</f>
        <v>Calça Jeans</v>
      </c>
      <c r="K74" t="str">
        <f>_xlfn.XLOOKUP(tblVendas[[#This Row],[vendedor]], tblVendedores[vendedor], tblVendedores[regiao], "Não encontrado")</f>
        <v>Norte</v>
      </c>
      <c r="L74">
        <f>MATCH(tblVendas[[#This Row],[id_produto]], tblProdutos[id_produto])</f>
        <v>2</v>
      </c>
      <c r="M74" s="2" t="str" cm="1">
        <f t="array" ref="M74">INDEX(tblProdutos[nome_produto], tblVendas[[#This Row],[posicao]])</f>
        <v>Calça Jeans</v>
      </c>
      <c r="N74" s="2" t="str">
        <f>INDEX(tblProdutos[nome_produto], MATCH(tblVendas[[#This Row],[id_produto]], tblProdutos[id_produto]))</f>
        <v>Calça Jeans</v>
      </c>
    </row>
    <row r="75" spans="1:14" x14ac:dyDescent="0.25">
      <c r="A75">
        <v>74</v>
      </c>
      <c r="B75">
        <v>5</v>
      </c>
      <c r="C75">
        <v>1</v>
      </c>
      <c r="D75" s="1">
        <v>45365</v>
      </c>
      <c r="E75" s="2" t="s">
        <v>5</v>
      </c>
      <c r="F75" t="str">
        <f>IFERROR(VLOOKUP(tblVendas[[#This Row],[id_produto]], tblProdutos[], 2, 0), "Produto não cadastrado")</f>
        <v>Moletom</v>
      </c>
      <c r="G75" s="3">
        <f>IFERROR(VLOOKUP(tblVendas[[#This Row],[id_produto]], tblProdutos[], 4, 0), "Produto não cadastrado")</f>
        <v>75</v>
      </c>
      <c r="H75" s="6" t="str">
        <f>IFERROR(VLOOKUP(tblVendas[[#This Row],[id_produto]], tblProdutos[], 3, 0), "Produto não cadastrado")</f>
        <v>Calçados</v>
      </c>
      <c r="I75" s="3">
        <f>tblVendas[[#This Row],[quantidade]]*tblVendas[[#This Row],[preco_unitario]]</f>
        <v>75</v>
      </c>
      <c r="J75" t="str">
        <f>_xlfn.XLOOKUP(tblVendas[[#This Row],[id_produto]], tblProdutos[id_produto], tblProdutos[nome_produto], "Não encontrado")</f>
        <v>Moletom</v>
      </c>
      <c r="K75" t="str">
        <f>_xlfn.XLOOKUP(tblVendas[[#This Row],[vendedor]], tblVendedores[vendedor], tblVendedores[regiao], "Não encontrado")</f>
        <v>Sudeste</v>
      </c>
      <c r="L75">
        <f>MATCH(tblVendas[[#This Row],[id_produto]], tblProdutos[id_produto])</f>
        <v>5</v>
      </c>
      <c r="M75" s="2" t="str" cm="1">
        <f t="array" ref="M75">INDEX(tblProdutos[nome_produto], tblVendas[[#This Row],[posicao]])</f>
        <v>Moletom</v>
      </c>
      <c r="N75" s="2" t="str">
        <f>INDEX(tblProdutos[nome_produto], MATCH(tblVendas[[#This Row],[id_produto]], tblProdutos[id_produto]))</f>
        <v>Moletom</v>
      </c>
    </row>
    <row r="76" spans="1:14" x14ac:dyDescent="0.25">
      <c r="A76">
        <v>75</v>
      </c>
      <c r="B76">
        <v>8</v>
      </c>
      <c r="C76">
        <v>3</v>
      </c>
      <c r="D76" s="1">
        <v>45366</v>
      </c>
      <c r="E76" s="2" t="s">
        <v>9</v>
      </c>
      <c r="F76" t="str">
        <f>IFERROR(VLOOKUP(tblVendas[[#This Row],[id_produto]], tblProdutos[], 2, 0), "Produto não cadastrado")</f>
        <v>Regata</v>
      </c>
      <c r="G76" s="3">
        <f>IFERROR(VLOOKUP(tblVendas[[#This Row],[id_produto]], tblProdutos[], 4, 0), "Produto não cadastrado")</f>
        <v>111</v>
      </c>
      <c r="H76" s="6" t="str">
        <f>IFERROR(VLOOKUP(tblVendas[[#This Row],[id_produto]], tblProdutos[], 3, 0), "Produto não cadastrado")</f>
        <v>Vestuário</v>
      </c>
      <c r="I76" s="3">
        <f>tblVendas[[#This Row],[quantidade]]*tblVendas[[#This Row],[preco_unitario]]</f>
        <v>333</v>
      </c>
      <c r="J76" t="str">
        <f>_xlfn.XLOOKUP(tblVendas[[#This Row],[id_produto]], tblProdutos[id_produto], tblProdutos[nome_produto], "Não encontrado")</f>
        <v>Regata</v>
      </c>
      <c r="K76" t="str">
        <f>_xlfn.XLOOKUP(tblVendas[[#This Row],[vendedor]], tblVendedores[vendedor], tblVendedores[regiao], "Não encontrado")</f>
        <v>Sul</v>
      </c>
      <c r="L76">
        <f>MATCH(tblVendas[[#This Row],[id_produto]], tblProdutos[id_produto])</f>
        <v>8</v>
      </c>
      <c r="M76" s="2" t="str" cm="1">
        <f t="array" ref="M76">INDEX(tblProdutos[nome_produto], tblVendas[[#This Row],[posicao]])</f>
        <v>Regata</v>
      </c>
      <c r="N76" s="2" t="str">
        <f>INDEX(tblProdutos[nome_produto], MATCH(tblVendas[[#This Row],[id_produto]], tblProdutos[id_produto]))</f>
        <v>Regata</v>
      </c>
    </row>
    <row r="77" spans="1:14" x14ac:dyDescent="0.25">
      <c r="A77">
        <v>76</v>
      </c>
      <c r="B77">
        <v>10</v>
      </c>
      <c r="C77">
        <v>6</v>
      </c>
      <c r="D77" s="1">
        <v>45367</v>
      </c>
      <c r="E77" s="2" t="s">
        <v>6</v>
      </c>
      <c r="F77" t="str">
        <f>IFERROR(VLOOKUP(tblVendas[[#This Row],[id_produto]], tblProdutos[], 2, 0), "Produto não cadastrado")</f>
        <v>Cinto</v>
      </c>
      <c r="G77" s="3">
        <f>IFERROR(VLOOKUP(tblVendas[[#This Row],[id_produto]], tblProdutos[], 4, 0), "Produto não cadastrado")</f>
        <v>76</v>
      </c>
      <c r="H77" s="6" t="str">
        <f>IFERROR(VLOOKUP(tblVendas[[#This Row],[id_produto]], tblProdutos[], 3, 0), "Produto não cadastrado")</f>
        <v>Acessórios</v>
      </c>
      <c r="I77" s="3">
        <f>tblVendas[[#This Row],[quantidade]]*tblVendas[[#This Row],[preco_unitario]]</f>
        <v>456</v>
      </c>
      <c r="J77" t="str">
        <f>_xlfn.XLOOKUP(tblVendas[[#This Row],[id_produto]], tblProdutos[id_produto], tblProdutos[nome_produto], "Não encontrado")</f>
        <v>Cinto</v>
      </c>
      <c r="K77" t="str">
        <f>_xlfn.XLOOKUP(tblVendas[[#This Row],[vendedor]], tblVendedores[vendedor], tblVendedores[regiao], "Não encontrado")</f>
        <v>Centro-Oeste</v>
      </c>
      <c r="L77">
        <f>MATCH(tblVendas[[#This Row],[id_produto]], tblProdutos[id_produto])</f>
        <v>10</v>
      </c>
      <c r="M77" s="2" t="str" cm="1">
        <f t="array" ref="M77">INDEX(tblProdutos[nome_produto], tblVendas[[#This Row],[posicao]])</f>
        <v>Cinto</v>
      </c>
      <c r="N77" s="2" t="str">
        <f>INDEX(tblProdutos[nome_produto], MATCH(tblVendas[[#This Row],[id_produto]], tblProdutos[id_produto]))</f>
        <v>Cinto</v>
      </c>
    </row>
    <row r="78" spans="1:14" x14ac:dyDescent="0.25">
      <c r="A78">
        <v>77</v>
      </c>
      <c r="B78">
        <v>9</v>
      </c>
      <c r="C78">
        <v>7</v>
      </c>
      <c r="D78" s="1">
        <v>45368</v>
      </c>
      <c r="E78" s="2" t="s">
        <v>7</v>
      </c>
      <c r="F78" t="str">
        <f>IFERROR(VLOOKUP(tblVendas[[#This Row],[id_produto]], tblProdutos[], 2, 0), "Produto não cadastrado")</f>
        <v>Meia</v>
      </c>
      <c r="G78" s="3">
        <f>IFERROR(VLOOKUP(tblVendas[[#This Row],[id_produto]], tblProdutos[], 4, 0), "Produto não cadastrado")</f>
        <v>144</v>
      </c>
      <c r="H78" s="6" t="str">
        <f>IFERROR(VLOOKUP(tblVendas[[#This Row],[id_produto]], tblProdutos[], 3, 0), "Produto não cadastrado")</f>
        <v>Vestuário</v>
      </c>
      <c r="I78" s="3">
        <f>tblVendas[[#This Row],[quantidade]]*tblVendas[[#This Row],[preco_unitario]]</f>
        <v>1008</v>
      </c>
      <c r="J78" t="str">
        <f>_xlfn.XLOOKUP(tblVendas[[#This Row],[id_produto]], tblProdutos[id_produto], tblProdutos[nome_produto], "Não encontrado")</f>
        <v>Meia</v>
      </c>
      <c r="K78" t="str">
        <f>_xlfn.XLOOKUP(tblVendas[[#This Row],[vendedor]], tblVendedores[vendedor], tblVendedores[regiao], "Não encontrado")</f>
        <v>Norte</v>
      </c>
      <c r="L78">
        <f>MATCH(tblVendas[[#This Row],[id_produto]], tblProdutos[id_produto])</f>
        <v>9</v>
      </c>
      <c r="M78" s="2" t="str" cm="1">
        <f t="array" ref="M78">INDEX(tblProdutos[nome_produto], tblVendas[[#This Row],[posicao]])</f>
        <v>Meia</v>
      </c>
      <c r="N78" s="2" t="str">
        <f>INDEX(tblProdutos[nome_produto], MATCH(tblVendas[[#This Row],[id_produto]], tblProdutos[id_produto]))</f>
        <v>Meia</v>
      </c>
    </row>
    <row r="79" spans="1:14" x14ac:dyDescent="0.25">
      <c r="A79">
        <v>78</v>
      </c>
      <c r="B79">
        <v>9</v>
      </c>
      <c r="C79">
        <v>6</v>
      </c>
      <c r="D79" s="1">
        <v>45369</v>
      </c>
      <c r="E79" s="2" t="s">
        <v>9</v>
      </c>
      <c r="F79" t="str">
        <f>IFERROR(VLOOKUP(tblVendas[[#This Row],[id_produto]], tblProdutos[], 2, 0), "Produto não cadastrado")</f>
        <v>Meia</v>
      </c>
      <c r="G79" s="3">
        <f>IFERROR(VLOOKUP(tblVendas[[#This Row],[id_produto]], tblProdutos[], 4, 0), "Produto não cadastrado")</f>
        <v>144</v>
      </c>
      <c r="H79" s="6" t="str">
        <f>IFERROR(VLOOKUP(tblVendas[[#This Row],[id_produto]], tblProdutos[], 3, 0), "Produto não cadastrado")</f>
        <v>Vestuário</v>
      </c>
      <c r="I79" s="3">
        <f>tblVendas[[#This Row],[quantidade]]*tblVendas[[#This Row],[preco_unitario]]</f>
        <v>864</v>
      </c>
      <c r="J79" t="str">
        <f>_xlfn.XLOOKUP(tblVendas[[#This Row],[id_produto]], tblProdutos[id_produto], tblProdutos[nome_produto], "Não encontrado")</f>
        <v>Meia</v>
      </c>
      <c r="K79" t="str">
        <f>_xlfn.XLOOKUP(tblVendas[[#This Row],[vendedor]], tblVendedores[vendedor], tblVendedores[regiao], "Não encontrado")</f>
        <v>Sul</v>
      </c>
      <c r="L79">
        <f>MATCH(tblVendas[[#This Row],[id_produto]], tblProdutos[id_produto])</f>
        <v>9</v>
      </c>
      <c r="M79" s="2" t="str" cm="1">
        <f t="array" ref="M79">INDEX(tblProdutos[nome_produto], tblVendas[[#This Row],[posicao]])</f>
        <v>Meia</v>
      </c>
      <c r="N79" s="2" t="str">
        <f>INDEX(tblProdutos[nome_produto], MATCH(tblVendas[[#This Row],[id_produto]], tblProdutos[id_produto]))</f>
        <v>Meia</v>
      </c>
    </row>
    <row r="80" spans="1:14" x14ac:dyDescent="0.25">
      <c r="A80">
        <v>79</v>
      </c>
      <c r="B80">
        <v>1</v>
      </c>
      <c r="C80">
        <v>6</v>
      </c>
      <c r="D80" s="1">
        <v>45370</v>
      </c>
      <c r="E80" s="2" t="s">
        <v>6</v>
      </c>
      <c r="F80" t="str">
        <f>IFERROR(VLOOKUP(tblVendas[[#This Row],[id_produto]], tblProdutos[], 2, 0), "Produto não cadastrado")</f>
        <v>Camiseta</v>
      </c>
      <c r="G80" s="3">
        <f>IFERROR(VLOOKUP(tblVendas[[#This Row],[id_produto]], tblProdutos[], 4, 0), "Produto não cadastrado")</f>
        <v>174</v>
      </c>
      <c r="H80" s="6" t="str">
        <f>IFERROR(VLOOKUP(tblVendas[[#This Row],[id_produto]], tblProdutos[], 3, 0), "Produto não cadastrado")</f>
        <v>Calçados</v>
      </c>
      <c r="I80" s="3">
        <f>tblVendas[[#This Row],[quantidade]]*tblVendas[[#This Row],[preco_unitario]]</f>
        <v>1044</v>
      </c>
      <c r="J80" t="str">
        <f>_xlfn.XLOOKUP(tblVendas[[#This Row],[id_produto]], tblProdutos[id_produto], tblProdutos[nome_produto], "Não encontrado")</f>
        <v>Camiseta</v>
      </c>
      <c r="K80" t="str">
        <f>_xlfn.XLOOKUP(tblVendas[[#This Row],[vendedor]], tblVendedores[vendedor], tblVendedores[regiao], "Não encontrado")</f>
        <v>Centro-Oeste</v>
      </c>
      <c r="L80">
        <f>MATCH(tblVendas[[#This Row],[id_produto]], tblProdutos[id_produto])</f>
        <v>1</v>
      </c>
      <c r="M80" s="2" t="str" cm="1">
        <f t="array" ref="M80">INDEX(tblProdutos[nome_produto], tblVendas[[#This Row],[posicao]])</f>
        <v>Camiseta</v>
      </c>
      <c r="N80" s="2" t="str">
        <f>INDEX(tblProdutos[nome_produto], MATCH(tblVendas[[#This Row],[id_produto]], tblProdutos[id_produto]))</f>
        <v>Camiseta</v>
      </c>
    </row>
    <row r="81" spans="1:14" x14ac:dyDescent="0.25">
      <c r="A81">
        <v>80</v>
      </c>
      <c r="B81">
        <v>9</v>
      </c>
      <c r="C81">
        <v>6</v>
      </c>
      <c r="D81" s="1">
        <v>45371</v>
      </c>
      <c r="E81" s="2" t="s">
        <v>9</v>
      </c>
      <c r="F81" t="str">
        <f>IFERROR(VLOOKUP(tblVendas[[#This Row],[id_produto]], tblProdutos[], 2, 0), "Produto não cadastrado")</f>
        <v>Meia</v>
      </c>
      <c r="G81" s="3">
        <f>IFERROR(VLOOKUP(tblVendas[[#This Row],[id_produto]], tblProdutos[], 4, 0), "Produto não cadastrado")</f>
        <v>144</v>
      </c>
      <c r="H81" s="6" t="str">
        <f>IFERROR(VLOOKUP(tblVendas[[#This Row],[id_produto]], tblProdutos[], 3, 0), "Produto não cadastrado")</f>
        <v>Vestuário</v>
      </c>
      <c r="I81" s="3">
        <f>tblVendas[[#This Row],[quantidade]]*tblVendas[[#This Row],[preco_unitario]]</f>
        <v>864</v>
      </c>
      <c r="J81" t="str">
        <f>_xlfn.XLOOKUP(tblVendas[[#This Row],[id_produto]], tblProdutos[id_produto], tblProdutos[nome_produto], "Não encontrado")</f>
        <v>Meia</v>
      </c>
      <c r="K81" t="str">
        <f>_xlfn.XLOOKUP(tblVendas[[#This Row],[vendedor]], tblVendedores[vendedor], tblVendedores[regiao], "Não encontrado")</f>
        <v>Sul</v>
      </c>
      <c r="L81">
        <f>MATCH(tblVendas[[#This Row],[id_produto]], tblProdutos[id_produto])</f>
        <v>9</v>
      </c>
      <c r="M81" s="2" t="str" cm="1">
        <f t="array" ref="M81">INDEX(tblProdutos[nome_produto], tblVendas[[#This Row],[posicao]])</f>
        <v>Meia</v>
      </c>
      <c r="N81" s="2" t="str">
        <f>INDEX(tblProdutos[nome_produto], MATCH(tblVendas[[#This Row],[id_produto]], tblProdutos[id_produto]))</f>
        <v>Meia</v>
      </c>
    </row>
    <row r="82" spans="1:14" x14ac:dyDescent="0.25">
      <c r="A82">
        <v>81</v>
      </c>
      <c r="B82">
        <v>7</v>
      </c>
      <c r="C82">
        <v>3</v>
      </c>
      <c r="D82" s="1">
        <v>45372</v>
      </c>
      <c r="E82" s="2" t="s">
        <v>8</v>
      </c>
      <c r="F82" t="str">
        <f>IFERROR(VLOOKUP(tblVendas[[#This Row],[id_produto]], tblProdutos[], 2, 0), "Produto não cadastrado")</f>
        <v>Jaqueta</v>
      </c>
      <c r="G82" s="3">
        <f>IFERROR(VLOOKUP(tblVendas[[#This Row],[id_produto]], tblProdutos[], 4, 0), "Produto não cadastrado")</f>
        <v>163</v>
      </c>
      <c r="H82" s="6" t="str">
        <f>IFERROR(VLOOKUP(tblVendas[[#This Row],[id_produto]], tblProdutos[], 3, 0), "Produto não cadastrado")</f>
        <v>Calçados</v>
      </c>
      <c r="I82" s="3">
        <f>tblVendas[[#This Row],[quantidade]]*tblVendas[[#This Row],[preco_unitario]]</f>
        <v>489</v>
      </c>
      <c r="J82" t="str">
        <f>_xlfn.XLOOKUP(tblVendas[[#This Row],[id_produto]], tblProdutos[id_produto], tblProdutos[nome_produto], "Não encontrado")</f>
        <v>Jaqueta</v>
      </c>
      <c r="K82" t="str">
        <f>_xlfn.XLOOKUP(tblVendas[[#This Row],[vendedor]], tblVendedores[vendedor], tblVendedores[regiao], "Não encontrado")</f>
        <v>Nordeste</v>
      </c>
      <c r="L82">
        <f>MATCH(tblVendas[[#This Row],[id_produto]], tblProdutos[id_produto])</f>
        <v>7</v>
      </c>
      <c r="M82" s="2" t="str" cm="1">
        <f t="array" ref="M82">INDEX(tblProdutos[nome_produto], tblVendas[[#This Row],[posicao]])</f>
        <v>Jaqueta</v>
      </c>
      <c r="N82" s="2" t="str">
        <f>INDEX(tblProdutos[nome_produto], MATCH(tblVendas[[#This Row],[id_produto]], tblProdutos[id_produto]))</f>
        <v>Jaqueta</v>
      </c>
    </row>
    <row r="83" spans="1:14" x14ac:dyDescent="0.25">
      <c r="A83">
        <v>82</v>
      </c>
      <c r="B83">
        <v>9</v>
      </c>
      <c r="C83">
        <v>6</v>
      </c>
      <c r="D83" s="1">
        <v>45373</v>
      </c>
      <c r="E83" s="2" t="s">
        <v>9</v>
      </c>
      <c r="F83" t="str">
        <f>IFERROR(VLOOKUP(tblVendas[[#This Row],[id_produto]], tblProdutos[], 2, 0), "Produto não cadastrado")</f>
        <v>Meia</v>
      </c>
      <c r="G83" s="3">
        <f>IFERROR(VLOOKUP(tblVendas[[#This Row],[id_produto]], tblProdutos[], 4, 0), "Produto não cadastrado")</f>
        <v>144</v>
      </c>
      <c r="H83" s="6" t="str">
        <f>IFERROR(VLOOKUP(tblVendas[[#This Row],[id_produto]], tblProdutos[], 3, 0), "Produto não cadastrado")</f>
        <v>Vestuário</v>
      </c>
      <c r="I83" s="3">
        <f>tblVendas[[#This Row],[quantidade]]*tblVendas[[#This Row],[preco_unitario]]</f>
        <v>864</v>
      </c>
      <c r="J83" t="str">
        <f>_xlfn.XLOOKUP(tblVendas[[#This Row],[id_produto]], tblProdutos[id_produto], tblProdutos[nome_produto], "Não encontrado")</f>
        <v>Meia</v>
      </c>
      <c r="K83" t="str">
        <f>_xlfn.XLOOKUP(tblVendas[[#This Row],[vendedor]], tblVendedores[vendedor], tblVendedores[regiao], "Não encontrado")</f>
        <v>Sul</v>
      </c>
      <c r="L83">
        <f>MATCH(tblVendas[[#This Row],[id_produto]], tblProdutos[id_produto])</f>
        <v>9</v>
      </c>
      <c r="M83" s="2" t="str" cm="1">
        <f t="array" ref="M83">INDEX(tblProdutos[nome_produto], tblVendas[[#This Row],[posicao]])</f>
        <v>Meia</v>
      </c>
      <c r="N83" s="2" t="str">
        <f>INDEX(tblProdutos[nome_produto], MATCH(tblVendas[[#This Row],[id_produto]], tblProdutos[id_produto]))</f>
        <v>Meia</v>
      </c>
    </row>
    <row r="84" spans="1:14" x14ac:dyDescent="0.25">
      <c r="A84">
        <v>83</v>
      </c>
      <c r="B84">
        <v>8</v>
      </c>
      <c r="C84">
        <v>8</v>
      </c>
      <c r="D84" s="1">
        <v>45374</v>
      </c>
      <c r="E84" s="2" t="s">
        <v>9</v>
      </c>
      <c r="F84" t="str">
        <f>IFERROR(VLOOKUP(tblVendas[[#This Row],[id_produto]], tblProdutos[], 2, 0), "Produto não cadastrado")</f>
        <v>Regata</v>
      </c>
      <c r="G84" s="3">
        <f>IFERROR(VLOOKUP(tblVendas[[#This Row],[id_produto]], tblProdutos[], 4, 0), "Produto não cadastrado")</f>
        <v>111</v>
      </c>
      <c r="H84" s="6" t="str">
        <f>IFERROR(VLOOKUP(tblVendas[[#This Row],[id_produto]], tblProdutos[], 3, 0), "Produto não cadastrado")</f>
        <v>Vestuário</v>
      </c>
      <c r="I84" s="3">
        <f>tblVendas[[#This Row],[quantidade]]*tblVendas[[#This Row],[preco_unitario]]</f>
        <v>888</v>
      </c>
      <c r="J84" t="str">
        <f>_xlfn.XLOOKUP(tblVendas[[#This Row],[id_produto]], tblProdutos[id_produto], tblProdutos[nome_produto], "Não encontrado")</f>
        <v>Regata</v>
      </c>
      <c r="K84" t="str">
        <f>_xlfn.XLOOKUP(tblVendas[[#This Row],[vendedor]], tblVendedores[vendedor], tblVendedores[regiao], "Não encontrado")</f>
        <v>Sul</v>
      </c>
      <c r="L84">
        <f>MATCH(tblVendas[[#This Row],[id_produto]], tblProdutos[id_produto])</f>
        <v>8</v>
      </c>
      <c r="M84" s="2" t="str" cm="1">
        <f t="array" ref="M84">INDEX(tblProdutos[nome_produto], tblVendas[[#This Row],[posicao]])</f>
        <v>Regata</v>
      </c>
      <c r="N84" s="2" t="str">
        <f>INDEX(tblProdutos[nome_produto], MATCH(tblVendas[[#This Row],[id_produto]], tblProdutos[id_produto]))</f>
        <v>Regata</v>
      </c>
    </row>
    <row r="85" spans="1:14" x14ac:dyDescent="0.25">
      <c r="A85">
        <v>84</v>
      </c>
      <c r="B85">
        <v>1</v>
      </c>
      <c r="C85">
        <v>2</v>
      </c>
      <c r="D85" s="1">
        <v>45375</v>
      </c>
      <c r="E85" s="2" t="s">
        <v>9</v>
      </c>
      <c r="F85" t="str">
        <f>IFERROR(VLOOKUP(tblVendas[[#This Row],[id_produto]], tblProdutos[], 2, 0), "Produto não cadastrado")</f>
        <v>Camiseta</v>
      </c>
      <c r="G85" s="3">
        <f>IFERROR(VLOOKUP(tblVendas[[#This Row],[id_produto]], tblProdutos[], 4, 0), "Produto não cadastrado")</f>
        <v>174</v>
      </c>
      <c r="H85" s="6" t="str">
        <f>IFERROR(VLOOKUP(tblVendas[[#This Row],[id_produto]], tblProdutos[], 3, 0), "Produto não cadastrado")</f>
        <v>Calçados</v>
      </c>
      <c r="I85" s="3">
        <f>tblVendas[[#This Row],[quantidade]]*tblVendas[[#This Row],[preco_unitario]]</f>
        <v>348</v>
      </c>
      <c r="J85" t="str">
        <f>_xlfn.XLOOKUP(tblVendas[[#This Row],[id_produto]], tblProdutos[id_produto], tblProdutos[nome_produto], "Não encontrado")</f>
        <v>Camiseta</v>
      </c>
      <c r="K85" t="str">
        <f>_xlfn.XLOOKUP(tblVendas[[#This Row],[vendedor]], tblVendedores[vendedor], tblVendedores[regiao], "Não encontrado")</f>
        <v>Sul</v>
      </c>
      <c r="L85">
        <f>MATCH(tblVendas[[#This Row],[id_produto]], tblProdutos[id_produto])</f>
        <v>1</v>
      </c>
      <c r="M85" s="2" t="str" cm="1">
        <f t="array" ref="M85">INDEX(tblProdutos[nome_produto], tblVendas[[#This Row],[posicao]])</f>
        <v>Camiseta</v>
      </c>
      <c r="N85" s="2" t="str">
        <f>INDEX(tblProdutos[nome_produto], MATCH(tblVendas[[#This Row],[id_produto]], tblProdutos[id_produto]))</f>
        <v>Camiseta</v>
      </c>
    </row>
    <row r="86" spans="1:14" x14ac:dyDescent="0.25">
      <c r="A86">
        <v>85</v>
      </c>
      <c r="B86">
        <v>8</v>
      </c>
      <c r="C86">
        <v>5</v>
      </c>
      <c r="D86" s="1">
        <v>45376</v>
      </c>
      <c r="E86" s="2" t="s">
        <v>7</v>
      </c>
      <c r="F86" t="str">
        <f>IFERROR(VLOOKUP(tblVendas[[#This Row],[id_produto]], tblProdutos[], 2, 0), "Produto não cadastrado")</f>
        <v>Regata</v>
      </c>
      <c r="G86" s="3">
        <f>IFERROR(VLOOKUP(tblVendas[[#This Row],[id_produto]], tblProdutos[], 4, 0), "Produto não cadastrado")</f>
        <v>111</v>
      </c>
      <c r="H86" s="6" t="str">
        <f>IFERROR(VLOOKUP(tblVendas[[#This Row],[id_produto]], tblProdutos[], 3, 0), "Produto não cadastrado")</f>
        <v>Vestuário</v>
      </c>
      <c r="I86" s="3">
        <f>tblVendas[[#This Row],[quantidade]]*tblVendas[[#This Row],[preco_unitario]]</f>
        <v>555</v>
      </c>
      <c r="J86" t="str">
        <f>_xlfn.XLOOKUP(tblVendas[[#This Row],[id_produto]], tblProdutos[id_produto], tblProdutos[nome_produto], "Não encontrado")</f>
        <v>Regata</v>
      </c>
      <c r="K86" t="str">
        <f>_xlfn.XLOOKUP(tblVendas[[#This Row],[vendedor]], tblVendedores[vendedor], tblVendedores[regiao], "Não encontrado")</f>
        <v>Norte</v>
      </c>
      <c r="L86">
        <f>MATCH(tblVendas[[#This Row],[id_produto]], tblProdutos[id_produto])</f>
        <v>8</v>
      </c>
      <c r="M86" s="2" t="str" cm="1">
        <f t="array" ref="M86">INDEX(tblProdutos[nome_produto], tblVendas[[#This Row],[posicao]])</f>
        <v>Regata</v>
      </c>
      <c r="N86" s="2" t="str">
        <f>INDEX(tblProdutos[nome_produto], MATCH(tblVendas[[#This Row],[id_produto]], tblProdutos[id_produto]))</f>
        <v>Regata</v>
      </c>
    </row>
    <row r="87" spans="1:14" x14ac:dyDescent="0.25">
      <c r="A87">
        <v>86</v>
      </c>
      <c r="B87">
        <v>8</v>
      </c>
      <c r="C87">
        <v>1</v>
      </c>
      <c r="D87" s="1">
        <v>45377</v>
      </c>
      <c r="E87" s="2" t="s">
        <v>9</v>
      </c>
      <c r="F87" t="str">
        <f>IFERROR(VLOOKUP(tblVendas[[#This Row],[id_produto]], tblProdutos[], 2, 0), "Produto não cadastrado")</f>
        <v>Regata</v>
      </c>
      <c r="G87" s="3">
        <f>IFERROR(VLOOKUP(tblVendas[[#This Row],[id_produto]], tblProdutos[], 4, 0), "Produto não cadastrado")</f>
        <v>111</v>
      </c>
      <c r="H87" s="6" t="str">
        <f>IFERROR(VLOOKUP(tblVendas[[#This Row],[id_produto]], tblProdutos[], 3, 0), "Produto não cadastrado")</f>
        <v>Vestuário</v>
      </c>
      <c r="I87" s="3">
        <f>tblVendas[[#This Row],[quantidade]]*tblVendas[[#This Row],[preco_unitario]]</f>
        <v>111</v>
      </c>
      <c r="J87" t="str">
        <f>_xlfn.XLOOKUP(tblVendas[[#This Row],[id_produto]], tblProdutos[id_produto], tblProdutos[nome_produto], "Não encontrado")</f>
        <v>Regata</v>
      </c>
      <c r="K87" t="str">
        <f>_xlfn.XLOOKUP(tblVendas[[#This Row],[vendedor]], tblVendedores[vendedor], tblVendedores[regiao], "Não encontrado")</f>
        <v>Sul</v>
      </c>
      <c r="L87">
        <f>MATCH(tblVendas[[#This Row],[id_produto]], tblProdutos[id_produto])</f>
        <v>8</v>
      </c>
      <c r="M87" s="2" t="str" cm="1">
        <f t="array" ref="M87">INDEX(tblProdutos[nome_produto], tblVendas[[#This Row],[posicao]])</f>
        <v>Regata</v>
      </c>
      <c r="N87" s="2" t="str">
        <f>INDEX(tblProdutos[nome_produto], MATCH(tblVendas[[#This Row],[id_produto]], tblProdutos[id_produto]))</f>
        <v>Regata</v>
      </c>
    </row>
    <row r="88" spans="1:14" x14ac:dyDescent="0.25">
      <c r="A88">
        <v>87</v>
      </c>
      <c r="B88">
        <v>3</v>
      </c>
      <c r="C88">
        <v>1</v>
      </c>
      <c r="D88" s="1">
        <v>45378</v>
      </c>
      <c r="E88" s="2" t="s">
        <v>6</v>
      </c>
      <c r="F88" t="str">
        <f>IFERROR(VLOOKUP(tblVendas[[#This Row],[id_produto]], tblProdutos[], 2, 0), "Produto não cadastrado")</f>
        <v>Tênis</v>
      </c>
      <c r="G88" s="3">
        <f>IFERROR(VLOOKUP(tblVendas[[#This Row],[id_produto]], tblProdutos[], 4, 0), "Produto não cadastrado")</f>
        <v>186</v>
      </c>
      <c r="H88" s="6" t="str">
        <f>IFERROR(VLOOKUP(tblVendas[[#This Row],[id_produto]], tblProdutos[], 3, 0), "Produto não cadastrado")</f>
        <v>Vestuário</v>
      </c>
      <c r="I88" s="3">
        <f>tblVendas[[#This Row],[quantidade]]*tblVendas[[#This Row],[preco_unitario]]</f>
        <v>186</v>
      </c>
      <c r="J88" t="str">
        <f>_xlfn.XLOOKUP(tblVendas[[#This Row],[id_produto]], tblProdutos[id_produto], tblProdutos[nome_produto], "Não encontrado")</f>
        <v>Tênis</v>
      </c>
      <c r="K88" t="str">
        <f>_xlfn.XLOOKUP(tblVendas[[#This Row],[vendedor]], tblVendedores[vendedor], tblVendedores[regiao], "Não encontrado")</f>
        <v>Centro-Oeste</v>
      </c>
      <c r="L88">
        <f>MATCH(tblVendas[[#This Row],[id_produto]], tblProdutos[id_produto])</f>
        <v>3</v>
      </c>
      <c r="M88" s="2" t="str" cm="1">
        <f t="array" ref="M88">INDEX(tblProdutos[nome_produto], tblVendas[[#This Row],[posicao]])</f>
        <v>Tênis</v>
      </c>
      <c r="N88" s="2" t="str">
        <f>INDEX(tblProdutos[nome_produto], MATCH(tblVendas[[#This Row],[id_produto]], tblProdutos[id_produto]))</f>
        <v>Tênis</v>
      </c>
    </row>
    <row r="89" spans="1:14" x14ac:dyDescent="0.25">
      <c r="A89">
        <v>88</v>
      </c>
      <c r="B89">
        <v>1</v>
      </c>
      <c r="C89">
        <v>5</v>
      </c>
      <c r="D89" s="1">
        <v>45379</v>
      </c>
      <c r="E89" s="2" t="s">
        <v>8</v>
      </c>
      <c r="F89" t="str">
        <f>IFERROR(VLOOKUP(tblVendas[[#This Row],[id_produto]], tblProdutos[], 2, 0), "Produto não cadastrado")</f>
        <v>Camiseta</v>
      </c>
      <c r="G89" s="3">
        <f>IFERROR(VLOOKUP(tblVendas[[#This Row],[id_produto]], tblProdutos[], 4, 0), "Produto não cadastrado")</f>
        <v>174</v>
      </c>
      <c r="H89" s="6" t="str">
        <f>IFERROR(VLOOKUP(tblVendas[[#This Row],[id_produto]], tblProdutos[], 3, 0), "Produto não cadastrado")</f>
        <v>Calçados</v>
      </c>
      <c r="I89" s="3">
        <f>tblVendas[[#This Row],[quantidade]]*tblVendas[[#This Row],[preco_unitario]]</f>
        <v>870</v>
      </c>
      <c r="J89" t="str">
        <f>_xlfn.XLOOKUP(tblVendas[[#This Row],[id_produto]], tblProdutos[id_produto], tblProdutos[nome_produto], "Não encontrado")</f>
        <v>Camiseta</v>
      </c>
      <c r="K89" t="str">
        <f>_xlfn.XLOOKUP(tblVendas[[#This Row],[vendedor]], tblVendedores[vendedor], tblVendedores[regiao], "Não encontrado")</f>
        <v>Nordeste</v>
      </c>
      <c r="L89">
        <f>MATCH(tblVendas[[#This Row],[id_produto]], tblProdutos[id_produto])</f>
        <v>1</v>
      </c>
      <c r="M89" s="2" t="str" cm="1">
        <f t="array" ref="M89">INDEX(tblProdutos[nome_produto], tblVendas[[#This Row],[posicao]])</f>
        <v>Camiseta</v>
      </c>
      <c r="N89" s="2" t="str">
        <f>INDEX(tblProdutos[nome_produto], MATCH(tblVendas[[#This Row],[id_produto]], tblProdutos[id_produto]))</f>
        <v>Camiseta</v>
      </c>
    </row>
    <row r="90" spans="1:14" x14ac:dyDescent="0.25">
      <c r="A90">
        <v>89</v>
      </c>
      <c r="B90">
        <v>8</v>
      </c>
      <c r="C90">
        <v>3</v>
      </c>
      <c r="D90" s="1">
        <v>45380</v>
      </c>
      <c r="E90" s="2" t="s">
        <v>8</v>
      </c>
      <c r="F90" t="str">
        <f>IFERROR(VLOOKUP(tblVendas[[#This Row],[id_produto]], tblProdutos[], 2, 0), "Produto não cadastrado")</f>
        <v>Regata</v>
      </c>
      <c r="G90" s="3">
        <f>IFERROR(VLOOKUP(tblVendas[[#This Row],[id_produto]], tblProdutos[], 4, 0), "Produto não cadastrado")</f>
        <v>111</v>
      </c>
      <c r="H90" s="6" t="str">
        <f>IFERROR(VLOOKUP(tblVendas[[#This Row],[id_produto]], tblProdutos[], 3, 0), "Produto não cadastrado")</f>
        <v>Vestuário</v>
      </c>
      <c r="I90" s="3">
        <f>tblVendas[[#This Row],[quantidade]]*tblVendas[[#This Row],[preco_unitario]]</f>
        <v>333</v>
      </c>
      <c r="J90" t="str">
        <f>_xlfn.XLOOKUP(tblVendas[[#This Row],[id_produto]], tblProdutos[id_produto], tblProdutos[nome_produto], "Não encontrado")</f>
        <v>Regata</v>
      </c>
      <c r="K90" t="str">
        <f>_xlfn.XLOOKUP(tblVendas[[#This Row],[vendedor]], tblVendedores[vendedor], tblVendedores[regiao], "Não encontrado")</f>
        <v>Nordeste</v>
      </c>
      <c r="L90">
        <f>MATCH(tblVendas[[#This Row],[id_produto]], tblProdutos[id_produto])</f>
        <v>8</v>
      </c>
      <c r="M90" s="2" t="str" cm="1">
        <f t="array" ref="M90">INDEX(tblProdutos[nome_produto], tblVendas[[#This Row],[posicao]])</f>
        <v>Regata</v>
      </c>
      <c r="N90" s="2" t="str">
        <f>INDEX(tblProdutos[nome_produto], MATCH(tblVendas[[#This Row],[id_produto]], tblProdutos[id_produto]))</f>
        <v>Regata</v>
      </c>
    </row>
    <row r="91" spans="1:14" x14ac:dyDescent="0.25">
      <c r="A91">
        <v>90</v>
      </c>
      <c r="B91">
        <v>3</v>
      </c>
      <c r="C91">
        <v>4</v>
      </c>
      <c r="D91" s="1">
        <v>45381</v>
      </c>
      <c r="E91" s="2" t="s">
        <v>9</v>
      </c>
      <c r="F91" t="str">
        <f>IFERROR(VLOOKUP(tblVendas[[#This Row],[id_produto]], tblProdutos[], 2, 0), "Produto não cadastrado")</f>
        <v>Tênis</v>
      </c>
      <c r="G91" s="3">
        <f>IFERROR(VLOOKUP(tblVendas[[#This Row],[id_produto]], tblProdutos[], 4, 0), "Produto não cadastrado")</f>
        <v>186</v>
      </c>
      <c r="H91" s="6" t="str">
        <f>IFERROR(VLOOKUP(tblVendas[[#This Row],[id_produto]], tblProdutos[], 3, 0), "Produto não cadastrado")</f>
        <v>Vestuário</v>
      </c>
      <c r="I91" s="3">
        <f>tblVendas[[#This Row],[quantidade]]*tblVendas[[#This Row],[preco_unitario]]</f>
        <v>744</v>
      </c>
      <c r="J91" t="str">
        <f>_xlfn.XLOOKUP(tblVendas[[#This Row],[id_produto]], tblProdutos[id_produto], tblProdutos[nome_produto], "Não encontrado")</f>
        <v>Tênis</v>
      </c>
      <c r="K91" t="str">
        <f>_xlfn.XLOOKUP(tblVendas[[#This Row],[vendedor]], tblVendedores[vendedor], tblVendedores[regiao], "Não encontrado")</f>
        <v>Sul</v>
      </c>
      <c r="L91">
        <f>MATCH(tblVendas[[#This Row],[id_produto]], tblProdutos[id_produto])</f>
        <v>3</v>
      </c>
      <c r="M91" s="2" t="str" cm="1">
        <f t="array" ref="M91">INDEX(tblProdutos[nome_produto], tblVendas[[#This Row],[posicao]])</f>
        <v>Tênis</v>
      </c>
      <c r="N91" s="2" t="str">
        <f>INDEX(tblProdutos[nome_produto], MATCH(tblVendas[[#This Row],[id_produto]], tblProdutos[id_produto]))</f>
        <v>Tênis</v>
      </c>
    </row>
    <row r="92" spans="1:14" x14ac:dyDescent="0.25">
      <c r="A92">
        <v>91</v>
      </c>
      <c r="B92">
        <v>3</v>
      </c>
      <c r="C92">
        <v>3</v>
      </c>
      <c r="D92" s="1">
        <v>45382</v>
      </c>
      <c r="E92" s="2" t="s">
        <v>7</v>
      </c>
      <c r="F92" t="str">
        <f>IFERROR(VLOOKUP(tblVendas[[#This Row],[id_produto]], tblProdutos[], 2, 0), "Produto não cadastrado")</f>
        <v>Tênis</v>
      </c>
      <c r="G92" s="3">
        <f>IFERROR(VLOOKUP(tblVendas[[#This Row],[id_produto]], tblProdutos[], 4, 0), "Produto não cadastrado")</f>
        <v>186</v>
      </c>
      <c r="H92" s="6" t="str">
        <f>IFERROR(VLOOKUP(tblVendas[[#This Row],[id_produto]], tblProdutos[], 3, 0), "Produto não cadastrado")</f>
        <v>Vestuário</v>
      </c>
      <c r="I92" s="3">
        <f>tblVendas[[#This Row],[quantidade]]*tblVendas[[#This Row],[preco_unitario]]</f>
        <v>558</v>
      </c>
      <c r="J92" t="str">
        <f>_xlfn.XLOOKUP(tblVendas[[#This Row],[id_produto]], tblProdutos[id_produto], tblProdutos[nome_produto], "Não encontrado")</f>
        <v>Tênis</v>
      </c>
      <c r="K92" t="str">
        <f>_xlfn.XLOOKUP(tblVendas[[#This Row],[vendedor]], tblVendedores[vendedor], tblVendedores[regiao], "Não encontrado")</f>
        <v>Norte</v>
      </c>
      <c r="L92">
        <f>MATCH(tblVendas[[#This Row],[id_produto]], tblProdutos[id_produto])</f>
        <v>3</v>
      </c>
      <c r="M92" s="2" t="str" cm="1">
        <f t="array" ref="M92">INDEX(tblProdutos[nome_produto], tblVendas[[#This Row],[posicao]])</f>
        <v>Tênis</v>
      </c>
      <c r="N92" s="2" t="str">
        <f>INDEX(tblProdutos[nome_produto], MATCH(tblVendas[[#This Row],[id_produto]], tblProdutos[id_produto]))</f>
        <v>Tênis</v>
      </c>
    </row>
    <row r="93" spans="1:14" x14ac:dyDescent="0.25">
      <c r="A93">
        <v>92</v>
      </c>
      <c r="B93">
        <v>1</v>
      </c>
      <c r="C93">
        <v>1</v>
      </c>
      <c r="D93" s="1">
        <v>45383</v>
      </c>
      <c r="E93" s="2" t="s">
        <v>7</v>
      </c>
      <c r="F93" t="str">
        <f>IFERROR(VLOOKUP(tblVendas[[#This Row],[id_produto]], tblProdutos[], 2, 0), "Produto não cadastrado")</f>
        <v>Camiseta</v>
      </c>
      <c r="G93" s="3">
        <f>IFERROR(VLOOKUP(tblVendas[[#This Row],[id_produto]], tblProdutos[], 4, 0), "Produto não cadastrado")</f>
        <v>174</v>
      </c>
      <c r="H93" s="6" t="str">
        <f>IFERROR(VLOOKUP(tblVendas[[#This Row],[id_produto]], tblProdutos[], 3, 0), "Produto não cadastrado")</f>
        <v>Calçados</v>
      </c>
      <c r="I93" s="3">
        <f>tblVendas[[#This Row],[quantidade]]*tblVendas[[#This Row],[preco_unitario]]</f>
        <v>174</v>
      </c>
      <c r="J93" t="str">
        <f>_xlfn.XLOOKUP(tblVendas[[#This Row],[id_produto]], tblProdutos[id_produto], tblProdutos[nome_produto], "Não encontrado")</f>
        <v>Camiseta</v>
      </c>
      <c r="K93" t="str">
        <f>_xlfn.XLOOKUP(tblVendas[[#This Row],[vendedor]], tblVendedores[vendedor], tblVendedores[regiao], "Não encontrado")</f>
        <v>Norte</v>
      </c>
      <c r="L93">
        <f>MATCH(tblVendas[[#This Row],[id_produto]], tblProdutos[id_produto])</f>
        <v>1</v>
      </c>
      <c r="M93" s="2" t="str" cm="1">
        <f t="array" ref="M93">INDEX(tblProdutos[nome_produto], tblVendas[[#This Row],[posicao]])</f>
        <v>Camiseta</v>
      </c>
      <c r="N93" s="2" t="str">
        <f>INDEX(tblProdutos[nome_produto], MATCH(tblVendas[[#This Row],[id_produto]], tblProdutos[id_produto]))</f>
        <v>Camiseta</v>
      </c>
    </row>
    <row r="94" spans="1:14" x14ac:dyDescent="0.25">
      <c r="A94">
        <v>93</v>
      </c>
      <c r="B94">
        <v>5</v>
      </c>
      <c r="C94">
        <v>1</v>
      </c>
      <c r="D94" s="1">
        <v>45384</v>
      </c>
      <c r="E94" s="2" t="s">
        <v>6</v>
      </c>
      <c r="F94" t="str">
        <f>IFERROR(VLOOKUP(tblVendas[[#This Row],[id_produto]], tblProdutos[], 2, 0), "Produto não cadastrado")</f>
        <v>Moletom</v>
      </c>
      <c r="G94" s="3">
        <f>IFERROR(VLOOKUP(tblVendas[[#This Row],[id_produto]], tblProdutos[], 4, 0), "Produto não cadastrado")</f>
        <v>75</v>
      </c>
      <c r="H94" s="6" t="str">
        <f>IFERROR(VLOOKUP(tblVendas[[#This Row],[id_produto]], tblProdutos[], 3, 0), "Produto não cadastrado")</f>
        <v>Calçados</v>
      </c>
      <c r="I94" s="3">
        <f>tblVendas[[#This Row],[quantidade]]*tblVendas[[#This Row],[preco_unitario]]</f>
        <v>75</v>
      </c>
      <c r="J94" t="str">
        <f>_xlfn.XLOOKUP(tblVendas[[#This Row],[id_produto]], tblProdutos[id_produto], tblProdutos[nome_produto], "Não encontrado")</f>
        <v>Moletom</v>
      </c>
      <c r="K94" t="str">
        <f>_xlfn.XLOOKUP(tblVendas[[#This Row],[vendedor]], tblVendedores[vendedor], tblVendedores[regiao], "Não encontrado")</f>
        <v>Centro-Oeste</v>
      </c>
      <c r="L94">
        <f>MATCH(tblVendas[[#This Row],[id_produto]], tblProdutos[id_produto])</f>
        <v>5</v>
      </c>
      <c r="M94" s="2" t="str" cm="1">
        <f t="array" ref="M94">INDEX(tblProdutos[nome_produto], tblVendas[[#This Row],[posicao]])</f>
        <v>Moletom</v>
      </c>
      <c r="N94" s="2" t="str">
        <f>INDEX(tblProdutos[nome_produto], MATCH(tblVendas[[#This Row],[id_produto]], tblProdutos[id_produto]))</f>
        <v>Moletom</v>
      </c>
    </row>
    <row r="95" spans="1:14" x14ac:dyDescent="0.25">
      <c r="A95">
        <v>94</v>
      </c>
      <c r="B95">
        <v>10</v>
      </c>
      <c r="C95">
        <v>5</v>
      </c>
      <c r="D95" s="1">
        <v>45385</v>
      </c>
      <c r="E95" s="2" t="s">
        <v>9</v>
      </c>
      <c r="F95" t="str">
        <f>IFERROR(VLOOKUP(tblVendas[[#This Row],[id_produto]], tblProdutos[], 2, 0), "Produto não cadastrado")</f>
        <v>Cinto</v>
      </c>
      <c r="G95" s="3">
        <f>IFERROR(VLOOKUP(tblVendas[[#This Row],[id_produto]], tblProdutos[], 4, 0), "Produto não cadastrado")</f>
        <v>76</v>
      </c>
      <c r="H95" s="6" t="str">
        <f>IFERROR(VLOOKUP(tblVendas[[#This Row],[id_produto]], tblProdutos[], 3, 0), "Produto não cadastrado")</f>
        <v>Acessórios</v>
      </c>
      <c r="I95" s="3">
        <f>tblVendas[[#This Row],[quantidade]]*tblVendas[[#This Row],[preco_unitario]]</f>
        <v>380</v>
      </c>
      <c r="J95" t="str">
        <f>_xlfn.XLOOKUP(tblVendas[[#This Row],[id_produto]], tblProdutos[id_produto], tblProdutos[nome_produto], "Não encontrado")</f>
        <v>Cinto</v>
      </c>
      <c r="K95" t="str">
        <f>_xlfn.XLOOKUP(tblVendas[[#This Row],[vendedor]], tblVendedores[vendedor], tblVendedores[regiao], "Não encontrado")</f>
        <v>Sul</v>
      </c>
      <c r="L95">
        <f>MATCH(tblVendas[[#This Row],[id_produto]], tblProdutos[id_produto])</f>
        <v>10</v>
      </c>
      <c r="M95" s="2" t="str" cm="1">
        <f t="array" ref="M95">INDEX(tblProdutos[nome_produto], tblVendas[[#This Row],[posicao]])</f>
        <v>Cinto</v>
      </c>
      <c r="N95" s="2" t="str">
        <f>INDEX(tblProdutos[nome_produto], MATCH(tblVendas[[#This Row],[id_produto]], tblProdutos[id_produto]))</f>
        <v>Cinto</v>
      </c>
    </row>
    <row r="96" spans="1:14" x14ac:dyDescent="0.25">
      <c r="A96">
        <v>95</v>
      </c>
      <c r="B96">
        <v>7</v>
      </c>
      <c r="C96">
        <v>6</v>
      </c>
      <c r="D96" s="1">
        <v>45386</v>
      </c>
      <c r="E96" s="2" t="s">
        <v>8</v>
      </c>
      <c r="F96" t="str">
        <f>IFERROR(VLOOKUP(tblVendas[[#This Row],[id_produto]], tblProdutos[], 2, 0), "Produto não cadastrado")</f>
        <v>Jaqueta</v>
      </c>
      <c r="G96" s="3">
        <f>IFERROR(VLOOKUP(tblVendas[[#This Row],[id_produto]], tblProdutos[], 4, 0), "Produto não cadastrado")</f>
        <v>163</v>
      </c>
      <c r="H96" s="6" t="str">
        <f>IFERROR(VLOOKUP(tblVendas[[#This Row],[id_produto]], tblProdutos[], 3, 0), "Produto não cadastrado")</f>
        <v>Calçados</v>
      </c>
      <c r="I96" s="3">
        <f>tblVendas[[#This Row],[quantidade]]*tblVendas[[#This Row],[preco_unitario]]</f>
        <v>978</v>
      </c>
      <c r="J96" t="str">
        <f>_xlfn.XLOOKUP(tblVendas[[#This Row],[id_produto]], tblProdutos[id_produto], tblProdutos[nome_produto], "Não encontrado")</f>
        <v>Jaqueta</v>
      </c>
      <c r="K96" t="str">
        <f>_xlfn.XLOOKUP(tblVendas[[#This Row],[vendedor]], tblVendedores[vendedor], tblVendedores[regiao], "Não encontrado")</f>
        <v>Nordeste</v>
      </c>
      <c r="L96">
        <f>MATCH(tblVendas[[#This Row],[id_produto]], tblProdutos[id_produto])</f>
        <v>7</v>
      </c>
      <c r="M96" s="2" t="str" cm="1">
        <f t="array" ref="M96">INDEX(tblProdutos[nome_produto], tblVendas[[#This Row],[posicao]])</f>
        <v>Jaqueta</v>
      </c>
      <c r="N96" s="2" t="str">
        <f>INDEX(tblProdutos[nome_produto], MATCH(tblVendas[[#This Row],[id_produto]], tblProdutos[id_produto]))</f>
        <v>Jaqueta</v>
      </c>
    </row>
    <row r="97" spans="1:14" x14ac:dyDescent="0.25">
      <c r="A97">
        <v>96</v>
      </c>
      <c r="B97">
        <v>10</v>
      </c>
      <c r="C97">
        <v>3</v>
      </c>
      <c r="D97" s="1">
        <v>45387</v>
      </c>
      <c r="E97" s="2" t="s">
        <v>7</v>
      </c>
      <c r="F97" t="str">
        <f>IFERROR(VLOOKUP(tblVendas[[#This Row],[id_produto]], tblProdutos[], 2, 0), "Produto não cadastrado")</f>
        <v>Cinto</v>
      </c>
      <c r="G97" s="3">
        <f>IFERROR(VLOOKUP(tblVendas[[#This Row],[id_produto]], tblProdutos[], 4, 0), "Produto não cadastrado")</f>
        <v>76</v>
      </c>
      <c r="H97" s="6" t="str">
        <f>IFERROR(VLOOKUP(tblVendas[[#This Row],[id_produto]], tblProdutos[], 3, 0), "Produto não cadastrado")</f>
        <v>Acessórios</v>
      </c>
      <c r="I97" s="3">
        <f>tblVendas[[#This Row],[quantidade]]*tblVendas[[#This Row],[preco_unitario]]</f>
        <v>228</v>
      </c>
      <c r="J97" t="str">
        <f>_xlfn.XLOOKUP(tblVendas[[#This Row],[id_produto]], tblProdutos[id_produto], tblProdutos[nome_produto], "Não encontrado")</f>
        <v>Cinto</v>
      </c>
      <c r="K97" t="str">
        <f>_xlfn.XLOOKUP(tblVendas[[#This Row],[vendedor]], tblVendedores[vendedor], tblVendedores[regiao], "Não encontrado")</f>
        <v>Norte</v>
      </c>
      <c r="L97">
        <f>MATCH(tblVendas[[#This Row],[id_produto]], tblProdutos[id_produto])</f>
        <v>10</v>
      </c>
      <c r="M97" s="2" t="str" cm="1">
        <f t="array" ref="M97">INDEX(tblProdutos[nome_produto], tblVendas[[#This Row],[posicao]])</f>
        <v>Cinto</v>
      </c>
      <c r="N97" s="2" t="str">
        <f>INDEX(tblProdutos[nome_produto], MATCH(tblVendas[[#This Row],[id_produto]], tblProdutos[id_produto]))</f>
        <v>Cinto</v>
      </c>
    </row>
    <row r="98" spans="1:14" x14ac:dyDescent="0.25">
      <c r="A98">
        <v>97</v>
      </c>
      <c r="B98">
        <v>9</v>
      </c>
      <c r="C98">
        <v>9</v>
      </c>
      <c r="D98" s="1">
        <v>45388</v>
      </c>
      <c r="E98" s="2" t="s">
        <v>9</v>
      </c>
      <c r="F98" t="str">
        <f>IFERROR(VLOOKUP(tblVendas[[#This Row],[id_produto]], tblProdutos[], 2, 0), "Produto não cadastrado")</f>
        <v>Meia</v>
      </c>
      <c r="G98" s="3">
        <f>IFERROR(VLOOKUP(tblVendas[[#This Row],[id_produto]], tblProdutos[], 4, 0), "Produto não cadastrado")</f>
        <v>144</v>
      </c>
      <c r="H98" s="6" t="str">
        <f>IFERROR(VLOOKUP(tblVendas[[#This Row],[id_produto]], tblProdutos[], 3, 0), "Produto não cadastrado")</f>
        <v>Vestuário</v>
      </c>
      <c r="I98" s="3">
        <f>tblVendas[[#This Row],[quantidade]]*tblVendas[[#This Row],[preco_unitario]]</f>
        <v>1296</v>
      </c>
      <c r="J98" t="str">
        <f>_xlfn.XLOOKUP(tblVendas[[#This Row],[id_produto]], tblProdutos[id_produto], tblProdutos[nome_produto], "Não encontrado")</f>
        <v>Meia</v>
      </c>
      <c r="K98" t="str">
        <f>_xlfn.XLOOKUP(tblVendas[[#This Row],[vendedor]], tblVendedores[vendedor], tblVendedores[regiao], "Não encontrado")</f>
        <v>Sul</v>
      </c>
      <c r="L98">
        <f>MATCH(tblVendas[[#This Row],[id_produto]], tblProdutos[id_produto])</f>
        <v>9</v>
      </c>
      <c r="M98" s="2" t="str" cm="1">
        <f t="array" ref="M98">INDEX(tblProdutos[nome_produto], tblVendas[[#This Row],[posicao]])</f>
        <v>Meia</v>
      </c>
      <c r="N98" s="2" t="str">
        <f>INDEX(tblProdutos[nome_produto], MATCH(tblVendas[[#This Row],[id_produto]], tblProdutos[id_produto]))</f>
        <v>Meia</v>
      </c>
    </row>
    <row r="99" spans="1:14" x14ac:dyDescent="0.25">
      <c r="A99">
        <v>98</v>
      </c>
      <c r="B99">
        <v>7</v>
      </c>
      <c r="C99">
        <v>5</v>
      </c>
      <c r="D99" s="1">
        <v>45389</v>
      </c>
      <c r="E99" s="2" t="s">
        <v>7</v>
      </c>
      <c r="F99" t="str">
        <f>IFERROR(VLOOKUP(tblVendas[[#This Row],[id_produto]], tblProdutos[], 2, 0), "Produto não cadastrado")</f>
        <v>Jaqueta</v>
      </c>
      <c r="G99" s="3">
        <f>IFERROR(VLOOKUP(tblVendas[[#This Row],[id_produto]], tblProdutos[], 4, 0), "Produto não cadastrado")</f>
        <v>163</v>
      </c>
      <c r="H99" s="6" t="str">
        <f>IFERROR(VLOOKUP(tblVendas[[#This Row],[id_produto]], tblProdutos[], 3, 0), "Produto não cadastrado")</f>
        <v>Calçados</v>
      </c>
      <c r="I99" s="3">
        <f>tblVendas[[#This Row],[quantidade]]*tblVendas[[#This Row],[preco_unitario]]</f>
        <v>815</v>
      </c>
      <c r="J99" t="str">
        <f>_xlfn.XLOOKUP(tblVendas[[#This Row],[id_produto]], tblProdutos[id_produto], tblProdutos[nome_produto], "Não encontrado")</f>
        <v>Jaqueta</v>
      </c>
      <c r="K99" t="str">
        <f>_xlfn.XLOOKUP(tblVendas[[#This Row],[vendedor]], tblVendedores[vendedor], tblVendedores[regiao], "Não encontrado")</f>
        <v>Norte</v>
      </c>
      <c r="L99">
        <f>MATCH(tblVendas[[#This Row],[id_produto]], tblProdutos[id_produto])</f>
        <v>7</v>
      </c>
      <c r="M99" s="2" t="str" cm="1">
        <f t="array" ref="M99">INDEX(tblProdutos[nome_produto], tblVendas[[#This Row],[posicao]])</f>
        <v>Jaqueta</v>
      </c>
      <c r="N99" s="2" t="str">
        <f>INDEX(tblProdutos[nome_produto], MATCH(tblVendas[[#This Row],[id_produto]], tblProdutos[id_produto]))</f>
        <v>Jaqueta</v>
      </c>
    </row>
    <row r="100" spans="1:14" x14ac:dyDescent="0.25">
      <c r="A100">
        <v>99</v>
      </c>
      <c r="B100">
        <v>9</v>
      </c>
      <c r="C100">
        <v>8</v>
      </c>
      <c r="D100" s="1">
        <v>45390</v>
      </c>
      <c r="E100" s="2" t="s">
        <v>7</v>
      </c>
      <c r="F100" t="str">
        <f>IFERROR(VLOOKUP(tblVendas[[#This Row],[id_produto]], tblProdutos[], 2, 0), "Produto não cadastrado")</f>
        <v>Meia</v>
      </c>
      <c r="G100" s="3">
        <f>IFERROR(VLOOKUP(tblVendas[[#This Row],[id_produto]], tblProdutos[], 4, 0), "Produto não cadastrado")</f>
        <v>144</v>
      </c>
      <c r="H100" s="6" t="str">
        <f>IFERROR(VLOOKUP(tblVendas[[#This Row],[id_produto]], tblProdutos[], 3, 0), "Produto não cadastrado")</f>
        <v>Vestuário</v>
      </c>
      <c r="I100" s="3">
        <f>tblVendas[[#This Row],[quantidade]]*tblVendas[[#This Row],[preco_unitario]]</f>
        <v>1152</v>
      </c>
      <c r="J100" t="str">
        <f>_xlfn.XLOOKUP(tblVendas[[#This Row],[id_produto]], tblProdutos[id_produto], tblProdutos[nome_produto], "Não encontrado")</f>
        <v>Meia</v>
      </c>
      <c r="K100" t="str">
        <f>_xlfn.XLOOKUP(tblVendas[[#This Row],[vendedor]], tblVendedores[vendedor], tblVendedores[regiao], "Não encontrado")</f>
        <v>Norte</v>
      </c>
      <c r="L100">
        <f>MATCH(tblVendas[[#This Row],[id_produto]], tblProdutos[id_produto])</f>
        <v>9</v>
      </c>
      <c r="M100" s="2" t="str" cm="1">
        <f t="array" ref="M100">INDEX(tblProdutos[nome_produto], tblVendas[[#This Row],[posicao]])</f>
        <v>Meia</v>
      </c>
      <c r="N100" s="2" t="str">
        <f>INDEX(tblProdutos[nome_produto], MATCH(tblVendas[[#This Row],[id_produto]], tblProdutos[id_produto]))</f>
        <v>Meia</v>
      </c>
    </row>
    <row r="101" spans="1:14" x14ac:dyDescent="0.25">
      <c r="A101">
        <v>100</v>
      </c>
      <c r="B101">
        <v>8</v>
      </c>
      <c r="C101">
        <v>1</v>
      </c>
      <c r="D101" s="1">
        <v>45391</v>
      </c>
      <c r="E101" s="2" t="s">
        <v>8</v>
      </c>
      <c r="F101" t="str">
        <f>IFERROR(VLOOKUP(tblVendas[[#This Row],[id_produto]], tblProdutos[], 2, 0), "Produto não cadastrado")</f>
        <v>Regata</v>
      </c>
      <c r="G101" s="3">
        <f>IFERROR(VLOOKUP(tblVendas[[#This Row],[id_produto]], tblProdutos[], 4, 0), "Produto não cadastrado")</f>
        <v>111</v>
      </c>
      <c r="H101" s="6" t="str">
        <f>IFERROR(VLOOKUP(tblVendas[[#This Row],[id_produto]], tblProdutos[], 3, 0), "Produto não cadastrado")</f>
        <v>Vestuário</v>
      </c>
      <c r="I101" s="3">
        <f>tblVendas[[#This Row],[quantidade]]*tblVendas[[#This Row],[preco_unitario]]</f>
        <v>111</v>
      </c>
      <c r="J101" t="str">
        <f>_xlfn.XLOOKUP(tblVendas[[#This Row],[id_produto]], tblProdutos[id_produto], tblProdutos[nome_produto], "Não encontrado")</f>
        <v>Regata</v>
      </c>
      <c r="K101" t="str">
        <f>_xlfn.XLOOKUP(tblVendas[[#This Row],[vendedor]], tblVendedores[vendedor], tblVendedores[regiao], "Não encontrado")</f>
        <v>Nordeste</v>
      </c>
      <c r="L101">
        <f>MATCH(tblVendas[[#This Row],[id_produto]], tblProdutos[id_produto])</f>
        <v>8</v>
      </c>
      <c r="M101" s="2" t="str" cm="1">
        <f t="array" ref="M101">INDEX(tblProdutos[nome_produto], tblVendas[[#This Row],[posicao]])</f>
        <v>Regata</v>
      </c>
      <c r="N101" s="2" t="str">
        <f>INDEX(tblProdutos[nome_produto], MATCH(tblVendas[[#This Row],[id_produto]], tblProdutos[id_produto]))</f>
        <v>Regata</v>
      </c>
    </row>
    <row r="102" spans="1:14" x14ac:dyDescent="0.25">
      <c r="A102">
        <v>101</v>
      </c>
      <c r="B102">
        <v>2</v>
      </c>
      <c r="C102">
        <v>5</v>
      </c>
      <c r="D102" s="1">
        <v>45392</v>
      </c>
      <c r="E102" s="2" t="s">
        <v>5</v>
      </c>
      <c r="F102" t="str">
        <f>IFERROR(VLOOKUP(tblVendas[[#This Row],[id_produto]], tblProdutos[], 2, 0), "Produto não cadastrado")</f>
        <v>Calça Jeans</v>
      </c>
      <c r="G102" s="3">
        <f>IFERROR(VLOOKUP(tblVendas[[#This Row],[id_produto]], tblProdutos[], 4, 0), "Produto não cadastrado")</f>
        <v>190</v>
      </c>
      <c r="H102" s="6" t="str">
        <f>IFERROR(VLOOKUP(tblVendas[[#This Row],[id_produto]], tblProdutos[], 3, 0), "Produto não cadastrado")</f>
        <v>Calçados</v>
      </c>
      <c r="I102" s="3">
        <f>tblVendas[[#This Row],[quantidade]]*tblVendas[[#This Row],[preco_unitario]]</f>
        <v>950</v>
      </c>
      <c r="J102" t="str">
        <f>_xlfn.XLOOKUP(tblVendas[[#This Row],[id_produto]], tblProdutos[id_produto], tblProdutos[nome_produto], "Não encontrado")</f>
        <v>Calça Jeans</v>
      </c>
      <c r="K102" t="str">
        <f>_xlfn.XLOOKUP(tblVendas[[#This Row],[vendedor]], tblVendedores[vendedor], tblVendedores[regiao], "Não encontrado")</f>
        <v>Sudeste</v>
      </c>
      <c r="L102">
        <f>MATCH(tblVendas[[#This Row],[id_produto]], tblProdutos[id_produto])</f>
        <v>2</v>
      </c>
      <c r="M102" s="2" t="str" cm="1">
        <f t="array" ref="M102">INDEX(tblProdutos[nome_produto], tblVendas[[#This Row],[posicao]])</f>
        <v>Calça Jeans</v>
      </c>
      <c r="N102" s="2" t="str">
        <f>INDEX(tblProdutos[nome_produto], MATCH(tblVendas[[#This Row],[id_produto]], tblProdutos[id_produto]))</f>
        <v>Calça Jeans</v>
      </c>
    </row>
    <row r="103" spans="1:14" x14ac:dyDescent="0.25">
      <c r="A103">
        <v>102</v>
      </c>
      <c r="B103">
        <v>1</v>
      </c>
      <c r="C103">
        <v>3</v>
      </c>
      <c r="D103" s="1">
        <v>45393</v>
      </c>
      <c r="E103" s="2" t="s">
        <v>6</v>
      </c>
      <c r="F103" t="str">
        <f>IFERROR(VLOOKUP(tblVendas[[#This Row],[id_produto]], tblProdutos[], 2, 0), "Produto não cadastrado")</f>
        <v>Camiseta</v>
      </c>
      <c r="G103" s="3">
        <f>IFERROR(VLOOKUP(tblVendas[[#This Row],[id_produto]], tblProdutos[], 4, 0), "Produto não cadastrado")</f>
        <v>174</v>
      </c>
      <c r="H103" s="6" t="str">
        <f>IFERROR(VLOOKUP(tblVendas[[#This Row],[id_produto]], tblProdutos[], 3, 0), "Produto não cadastrado")</f>
        <v>Calçados</v>
      </c>
      <c r="I103" s="3">
        <f>tblVendas[[#This Row],[quantidade]]*tblVendas[[#This Row],[preco_unitario]]</f>
        <v>522</v>
      </c>
      <c r="J103" t="str">
        <f>_xlfn.XLOOKUP(tblVendas[[#This Row],[id_produto]], tblProdutos[id_produto], tblProdutos[nome_produto], "Não encontrado")</f>
        <v>Camiseta</v>
      </c>
      <c r="K103" t="str">
        <f>_xlfn.XLOOKUP(tblVendas[[#This Row],[vendedor]], tblVendedores[vendedor], tblVendedores[regiao], "Não encontrado")</f>
        <v>Centro-Oeste</v>
      </c>
      <c r="L103">
        <f>MATCH(tblVendas[[#This Row],[id_produto]], tblProdutos[id_produto])</f>
        <v>1</v>
      </c>
      <c r="M103" s="2" t="str" cm="1">
        <f t="array" ref="M103">INDEX(tblProdutos[nome_produto], tblVendas[[#This Row],[posicao]])</f>
        <v>Camiseta</v>
      </c>
      <c r="N103" s="2" t="str">
        <f>INDEX(tblProdutos[nome_produto], MATCH(tblVendas[[#This Row],[id_produto]], tblProdutos[id_produto]))</f>
        <v>Camiseta</v>
      </c>
    </row>
    <row r="104" spans="1:14" x14ac:dyDescent="0.25">
      <c r="A104">
        <v>103</v>
      </c>
      <c r="B104">
        <v>7</v>
      </c>
      <c r="C104">
        <v>1</v>
      </c>
      <c r="D104" s="1">
        <v>45394</v>
      </c>
      <c r="E104" s="2" t="s">
        <v>6</v>
      </c>
      <c r="F104" t="str">
        <f>IFERROR(VLOOKUP(tblVendas[[#This Row],[id_produto]], tblProdutos[], 2, 0), "Produto não cadastrado")</f>
        <v>Jaqueta</v>
      </c>
      <c r="G104" s="3">
        <f>IFERROR(VLOOKUP(tblVendas[[#This Row],[id_produto]], tblProdutos[], 4, 0), "Produto não cadastrado")</f>
        <v>163</v>
      </c>
      <c r="H104" s="6" t="str">
        <f>IFERROR(VLOOKUP(tblVendas[[#This Row],[id_produto]], tblProdutos[], 3, 0), "Produto não cadastrado")</f>
        <v>Calçados</v>
      </c>
      <c r="I104" s="3">
        <f>tblVendas[[#This Row],[quantidade]]*tblVendas[[#This Row],[preco_unitario]]</f>
        <v>163</v>
      </c>
      <c r="J104" t="str">
        <f>_xlfn.XLOOKUP(tblVendas[[#This Row],[id_produto]], tblProdutos[id_produto], tblProdutos[nome_produto], "Não encontrado")</f>
        <v>Jaqueta</v>
      </c>
      <c r="K104" t="str">
        <f>_xlfn.XLOOKUP(tblVendas[[#This Row],[vendedor]], tblVendedores[vendedor], tblVendedores[regiao], "Não encontrado")</f>
        <v>Centro-Oeste</v>
      </c>
      <c r="L104">
        <f>MATCH(tblVendas[[#This Row],[id_produto]], tblProdutos[id_produto])</f>
        <v>7</v>
      </c>
      <c r="M104" s="2" t="str" cm="1">
        <f t="array" ref="M104">INDEX(tblProdutos[nome_produto], tblVendas[[#This Row],[posicao]])</f>
        <v>Jaqueta</v>
      </c>
      <c r="N104" s="2" t="str">
        <f>INDEX(tblProdutos[nome_produto], MATCH(tblVendas[[#This Row],[id_produto]], tblProdutos[id_produto]))</f>
        <v>Jaqueta</v>
      </c>
    </row>
    <row r="105" spans="1:14" x14ac:dyDescent="0.25">
      <c r="A105">
        <v>104</v>
      </c>
      <c r="B105">
        <v>7</v>
      </c>
      <c r="C105">
        <v>4</v>
      </c>
      <c r="D105" s="1">
        <v>45395</v>
      </c>
      <c r="E105" s="2" t="s">
        <v>8</v>
      </c>
      <c r="F105" t="str">
        <f>IFERROR(VLOOKUP(tblVendas[[#This Row],[id_produto]], tblProdutos[], 2, 0), "Produto não cadastrado")</f>
        <v>Jaqueta</v>
      </c>
      <c r="G105" s="3">
        <f>IFERROR(VLOOKUP(tblVendas[[#This Row],[id_produto]], tblProdutos[], 4, 0), "Produto não cadastrado")</f>
        <v>163</v>
      </c>
      <c r="H105" s="6" t="str">
        <f>IFERROR(VLOOKUP(tblVendas[[#This Row],[id_produto]], tblProdutos[], 3, 0), "Produto não cadastrado")</f>
        <v>Calçados</v>
      </c>
      <c r="I105" s="3">
        <f>tblVendas[[#This Row],[quantidade]]*tblVendas[[#This Row],[preco_unitario]]</f>
        <v>652</v>
      </c>
      <c r="J105" t="str">
        <f>_xlfn.XLOOKUP(tblVendas[[#This Row],[id_produto]], tblProdutos[id_produto], tblProdutos[nome_produto], "Não encontrado")</f>
        <v>Jaqueta</v>
      </c>
      <c r="K105" t="str">
        <f>_xlfn.XLOOKUP(tblVendas[[#This Row],[vendedor]], tblVendedores[vendedor], tblVendedores[regiao], "Não encontrado")</f>
        <v>Nordeste</v>
      </c>
      <c r="L105">
        <f>MATCH(tblVendas[[#This Row],[id_produto]], tblProdutos[id_produto])</f>
        <v>7</v>
      </c>
      <c r="M105" s="2" t="str" cm="1">
        <f t="array" ref="M105">INDEX(tblProdutos[nome_produto], tblVendas[[#This Row],[posicao]])</f>
        <v>Jaqueta</v>
      </c>
      <c r="N105" s="2" t="str">
        <f>INDEX(tblProdutos[nome_produto], MATCH(tblVendas[[#This Row],[id_produto]], tblProdutos[id_produto]))</f>
        <v>Jaqueta</v>
      </c>
    </row>
    <row r="106" spans="1:14" x14ac:dyDescent="0.25">
      <c r="A106">
        <v>105</v>
      </c>
      <c r="B106">
        <v>8</v>
      </c>
      <c r="C106">
        <v>5</v>
      </c>
      <c r="D106" s="1">
        <v>45396</v>
      </c>
      <c r="E106" s="2" t="s">
        <v>7</v>
      </c>
      <c r="F106" t="str">
        <f>IFERROR(VLOOKUP(tblVendas[[#This Row],[id_produto]], tblProdutos[], 2, 0), "Produto não cadastrado")</f>
        <v>Regata</v>
      </c>
      <c r="G106" s="3">
        <f>IFERROR(VLOOKUP(tblVendas[[#This Row],[id_produto]], tblProdutos[], 4, 0), "Produto não cadastrado")</f>
        <v>111</v>
      </c>
      <c r="H106" s="6" t="str">
        <f>IFERROR(VLOOKUP(tblVendas[[#This Row],[id_produto]], tblProdutos[], 3, 0), "Produto não cadastrado")</f>
        <v>Vestuário</v>
      </c>
      <c r="I106" s="3">
        <f>tblVendas[[#This Row],[quantidade]]*tblVendas[[#This Row],[preco_unitario]]</f>
        <v>555</v>
      </c>
      <c r="J106" t="str">
        <f>_xlfn.XLOOKUP(tblVendas[[#This Row],[id_produto]], tblProdutos[id_produto], tblProdutos[nome_produto], "Não encontrado")</f>
        <v>Regata</v>
      </c>
      <c r="K106" t="str">
        <f>_xlfn.XLOOKUP(tblVendas[[#This Row],[vendedor]], tblVendedores[vendedor], tblVendedores[regiao], "Não encontrado")</f>
        <v>Norte</v>
      </c>
      <c r="L106">
        <f>MATCH(tblVendas[[#This Row],[id_produto]], tblProdutos[id_produto])</f>
        <v>8</v>
      </c>
      <c r="M106" s="2" t="str" cm="1">
        <f t="array" ref="M106">INDEX(tblProdutos[nome_produto], tblVendas[[#This Row],[posicao]])</f>
        <v>Regata</v>
      </c>
      <c r="N106" s="2" t="str">
        <f>INDEX(tblProdutos[nome_produto], MATCH(tblVendas[[#This Row],[id_produto]], tblProdutos[id_produto]))</f>
        <v>Regata</v>
      </c>
    </row>
    <row r="107" spans="1:14" x14ac:dyDescent="0.25">
      <c r="A107">
        <v>106</v>
      </c>
      <c r="B107">
        <v>5</v>
      </c>
      <c r="C107">
        <v>7</v>
      </c>
      <c r="D107" s="1">
        <v>45397</v>
      </c>
      <c r="E107" s="2" t="s">
        <v>9</v>
      </c>
      <c r="F107" t="str">
        <f>IFERROR(VLOOKUP(tblVendas[[#This Row],[id_produto]], tblProdutos[], 2, 0), "Produto não cadastrado")</f>
        <v>Moletom</v>
      </c>
      <c r="G107" s="3">
        <f>IFERROR(VLOOKUP(tblVendas[[#This Row],[id_produto]], tblProdutos[], 4, 0), "Produto não cadastrado")</f>
        <v>75</v>
      </c>
      <c r="H107" s="6" t="str">
        <f>IFERROR(VLOOKUP(tblVendas[[#This Row],[id_produto]], tblProdutos[], 3, 0), "Produto não cadastrado")</f>
        <v>Calçados</v>
      </c>
      <c r="I107" s="3">
        <f>tblVendas[[#This Row],[quantidade]]*tblVendas[[#This Row],[preco_unitario]]</f>
        <v>525</v>
      </c>
      <c r="J107" t="str">
        <f>_xlfn.XLOOKUP(tblVendas[[#This Row],[id_produto]], tblProdutos[id_produto], tblProdutos[nome_produto], "Não encontrado")</f>
        <v>Moletom</v>
      </c>
      <c r="K107" t="str">
        <f>_xlfn.XLOOKUP(tblVendas[[#This Row],[vendedor]], tblVendedores[vendedor], tblVendedores[regiao], "Não encontrado")</f>
        <v>Sul</v>
      </c>
      <c r="L107">
        <f>MATCH(tblVendas[[#This Row],[id_produto]], tblProdutos[id_produto])</f>
        <v>5</v>
      </c>
      <c r="M107" s="2" t="str" cm="1">
        <f t="array" ref="M107">INDEX(tblProdutos[nome_produto], tblVendas[[#This Row],[posicao]])</f>
        <v>Moletom</v>
      </c>
      <c r="N107" s="2" t="str">
        <f>INDEX(tblProdutos[nome_produto], MATCH(tblVendas[[#This Row],[id_produto]], tblProdutos[id_produto]))</f>
        <v>Moletom</v>
      </c>
    </row>
    <row r="108" spans="1:14" x14ac:dyDescent="0.25">
      <c r="A108">
        <v>107</v>
      </c>
      <c r="B108">
        <v>3</v>
      </c>
      <c r="C108">
        <v>1</v>
      </c>
      <c r="D108" s="1">
        <v>45398</v>
      </c>
      <c r="E108" s="2" t="s">
        <v>7</v>
      </c>
      <c r="F108" t="str">
        <f>IFERROR(VLOOKUP(tblVendas[[#This Row],[id_produto]], tblProdutos[], 2, 0), "Produto não cadastrado")</f>
        <v>Tênis</v>
      </c>
      <c r="G108" s="3">
        <f>IFERROR(VLOOKUP(tblVendas[[#This Row],[id_produto]], tblProdutos[], 4, 0), "Produto não cadastrado")</f>
        <v>186</v>
      </c>
      <c r="H108" s="6" t="str">
        <f>IFERROR(VLOOKUP(tblVendas[[#This Row],[id_produto]], tblProdutos[], 3, 0), "Produto não cadastrado")</f>
        <v>Vestuário</v>
      </c>
      <c r="I108" s="3">
        <f>tblVendas[[#This Row],[quantidade]]*tblVendas[[#This Row],[preco_unitario]]</f>
        <v>186</v>
      </c>
      <c r="J108" t="str">
        <f>_xlfn.XLOOKUP(tblVendas[[#This Row],[id_produto]], tblProdutos[id_produto], tblProdutos[nome_produto], "Não encontrado")</f>
        <v>Tênis</v>
      </c>
      <c r="K108" t="str">
        <f>_xlfn.XLOOKUP(tblVendas[[#This Row],[vendedor]], tblVendedores[vendedor], tblVendedores[regiao], "Não encontrado")</f>
        <v>Norte</v>
      </c>
      <c r="L108">
        <f>MATCH(tblVendas[[#This Row],[id_produto]], tblProdutos[id_produto])</f>
        <v>3</v>
      </c>
      <c r="M108" s="2" t="str" cm="1">
        <f t="array" ref="M108">INDEX(tblProdutos[nome_produto], tblVendas[[#This Row],[posicao]])</f>
        <v>Tênis</v>
      </c>
      <c r="N108" s="2" t="str">
        <f>INDEX(tblProdutos[nome_produto], MATCH(tblVendas[[#This Row],[id_produto]], tblProdutos[id_produto]))</f>
        <v>Tênis</v>
      </c>
    </row>
    <row r="109" spans="1:14" x14ac:dyDescent="0.25">
      <c r="A109">
        <v>108</v>
      </c>
      <c r="B109">
        <v>8</v>
      </c>
      <c r="C109">
        <v>3</v>
      </c>
      <c r="D109" s="1">
        <v>45399</v>
      </c>
      <c r="E109" s="2" t="s">
        <v>8</v>
      </c>
      <c r="F109" t="str">
        <f>IFERROR(VLOOKUP(tblVendas[[#This Row],[id_produto]], tblProdutos[], 2, 0), "Produto não cadastrado")</f>
        <v>Regata</v>
      </c>
      <c r="G109" s="3">
        <f>IFERROR(VLOOKUP(tblVendas[[#This Row],[id_produto]], tblProdutos[], 4, 0), "Produto não cadastrado")</f>
        <v>111</v>
      </c>
      <c r="H109" s="6" t="str">
        <f>IFERROR(VLOOKUP(tblVendas[[#This Row],[id_produto]], tblProdutos[], 3, 0), "Produto não cadastrado")</f>
        <v>Vestuário</v>
      </c>
      <c r="I109" s="3">
        <f>tblVendas[[#This Row],[quantidade]]*tblVendas[[#This Row],[preco_unitario]]</f>
        <v>333</v>
      </c>
      <c r="J109" t="str">
        <f>_xlfn.XLOOKUP(tblVendas[[#This Row],[id_produto]], tblProdutos[id_produto], tblProdutos[nome_produto], "Não encontrado")</f>
        <v>Regata</v>
      </c>
      <c r="K109" t="str">
        <f>_xlfn.XLOOKUP(tblVendas[[#This Row],[vendedor]], tblVendedores[vendedor], tblVendedores[regiao], "Não encontrado")</f>
        <v>Nordeste</v>
      </c>
      <c r="L109">
        <f>MATCH(tblVendas[[#This Row],[id_produto]], tblProdutos[id_produto])</f>
        <v>8</v>
      </c>
      <c r="M109" s="2" t="str" cm="1">
        <f t="array" ref="M109">INDEX(tblProdutos[nome_produto], tblVendas[[#This Row],[posicao]])</f>
        <v>Regata</v>
      </c>
      <c r="N109" s="2" t="str">
        <f>INDEX(tblProdutos[nome_produto], MATCH(tblVendas[[#This Row],[id_produto]], tblProdutos[id_produto]))</f>
        <v>Regata</v>
      </c>
    </row>
    <row r="110" spans="1:14" x14ac:dyDescent="0.25">
      <c r="A110">
        <v>109</v>
      </c>
      <c r="B110">
        <v>6</v>
      </c>
      <c r="C110">
        <v>2</v>
      </c>
      <c r="D110" s="1">
        <v>45400</v>
      </c>
      <c r="E110" s="2" t="s">
        <v>6</v>
      </c>
      <c r="F110" t="str">
        <f>IFERROR(VLOOKUP(tblVendas[[#This Row],[id_produto]], tblProdutos[], 2, 0), "Produto não cadastrado")</f>
        <v>Bermuda</v>
      </c>
      <c r="G110" s="3">
        <f>IFERROR(VLOOKUP(tblVendas[[#This Row],[id_produto]], tblProdutos[], 4, 0), "Produto não cadastrado")</f>
        <v>64</v>
      </c>
      <c r="H110" s="6" t="str">
        <f>IFERROR(VLOOKUP(tblVendas[[#This Row],[id_produto]], tblProdutos[], 3, 0), "Produto não cadastrado")</f>
        <v>Calçados</v>
      </c>
      <c r="I110" s="3">
        <f>tblVendas[[#This Row],[quantidade]]*tblVendas[[#This Row],[preco_unitario]]</f>
        <v>128</v>
      </c>
      <c r="J110" t="str">
        <f>_xlfn.XLOOKUP(tblVendas[[#This Row],[id_produto]], tblProdutos[id_produto], tblProdutos[nome_produto], "Não encontrado")</f>
        <v>Bermuda</v>
      </c>
      <c r="K110" t="str">
        <f>_xlfn.XLOOKUP(tblVendas[[#This Row],[vendedor]], tblVendedores[vendedor], tblVendedores[regiao], "Não encontrado")</f>
        <v>Centro-Oeste</v>
      </c>
      <c r="L110">
        <f>MATCH(tblVendas[[#This Row],[id_produto]], tblProdutos[id_produto])</f>
        <v>6</v>
      </c>
      <c r="M110" s="2" t="str" cm="1">
        <f t="array" ref="M110">INDEX(tblProdutos[nome_produto], tblVendas[[#This Row],[posicao]])</f>
        <v>Bermuda</v>
      </c>
      <c r="N110" s="2" t="str">
        <f>INDEX(tblProdutos[nome_produto], MATCH(tblVendas[[#This Row],[id_produto]], tblProdutos[id_produto]))</f>
        <v>Bermuda</v>
      </c>
    </row>
    <row r="111" spans="1:14" x14ac:dyDescent="0.25">
      <c r="A111">
        <v>110</v>
      </c>
      <c r="B111">
        <v>3</v>
      </c>
      <c r="C111">
        <v>9</v>
      </c>
      <c r="D111" s="1">
        <v>45401</v>
      </c>
      <c r="E111" s="2" t="s">
        <v>7</v>
      </c>
      <c r="F111" t="str">
        <f>IFERROR(VLOOKUP(tblVendas[[#This Row],[id_produto]], tblProdutos[], 2, 0), "Produto não cadastrado")</f>
        <v>Tênis</v>
      </c>
      <c r="G111" s="3">
        <f>IFERROR(VLOOKUP(tblVendas[[#This Row],[id_produto]], tblProdutos[], 4, 0), "Produto não cadastrado")</f>
        <v>186</v>
      </c>
      <c r="H111" s="6" t="str">
        <f>IFERROR(VLOOKUP(tblVendas[[#This Row],[id_produto]], tblProdutos[], 3, 0), "Produto não cadastrado")</f>
        <v>Vestuário</v>
      </c>
      <c r="I111" s="3">
        <f>tblVendas[[#This Row],[quantidade]]*tblVendas[[#This Row],[preco_unitario]]</f>
        <v>1674</v>
      </c>
      <c r="J111" t="str">
        <f>_xlfn.XLOOKUP(tblVendas[[#This Row],[id_produto]], tblProdutos[id_produto], tblProdutos[nome_produto], "Não encontrado")</f>
        <v>Tênis</v>
      </c>
      <c r="K111" t="str">
        <f>_xlfn.XLOOKUP(tblVendas[[#This Row],[vendedor]], tblVendedores[vendedor], tblVendedores[regiao], "Não encontrado")</f>
        <v>Norte</v>
      </c>
      <c r="L111">
        <f>MATCH(tblVendas[[#This Row],[id_produto]], tblProdutos[id_produto])</f>
        <v>3</v>
      </c>
      <c r="M111" s="2" t="str" cm="1">
        <f t="array" ref="M111">INDEX(tblProdutos[nome_produto], tblVendas[[#This Row],[posicao]])</f>
        <v>Tênis</v>
      </c>
      <c r="N111" s="2" t="str">
        <f>INDEX(tblProdutos[nome_produto], MATCH(tblVendas[[#This Row],[id_produto]], tblProdutos[id_produto]))</f>
        <v>Tênis</v>
      </c>
    </row>
    <row r="112" spans="1:14" x14ac:dyDescent="0.25">
      <c r="A112">
        <v>111</v>
      </c>
      <c r="B112">
        <v>1</v>
      </c>
      <c r="C112">
        <v>6</v>
      </c>
      <c r="D112" s="1">
        <v>45402</v>
      </c>
      <c r="E112" s="2" t="s">
        <v>6</v>
      </c>
      <c r="F112" t="str">
        <f>IFERROR(VLOOKUP(tblVendas[[#This Row],[id_produto]], tblProdutos[], 2, 0), "Produto não cadastrado")</f>
        <v>Camiseta</v>
      </c>
      <c r="G112" s="3">
        <f>IFERROR(VLOOKUP(tblVendas[[#This Row],[id_produto]], tblProdutos[], 4, 0), "Produto não cadastrado")</f>
        <v>174</v>
      </c>
      <c r="H112" s="6" t="str">
        <f>IFERROR(VLOOKUP(tblVendas[[#This Row],[id_produto]], tblProdutos[], 3, 0), "Produto não cadastrado")</f>
        <v>Calçados</v>
      </c>
      <c r="I112" s="3">
        <f>tblVendas[[#This Row],[quantidade]]*tblVendas[[#This Row],[preco_unitario]]</f>
        <v>1044</v>
      </c>
      <c r="J112" t="str">
        <f>_xlfn.XLOOKUP(tblVendas[[#This Row],[id_produto]], tblProdutos[id_produto], tblProdutos[nome_produto], "Não encontrado")</f>
        <v>Camiseta</v>
      </c>
      <c r="K112" t="str">
        <f>_xlfn.XLOOKUP(tblVendas[[#This Row],[vendedor]], tblVendedores[vendedor], tblVendedores[regiao], "Não encontrado")</f>
        <v>Centro-Oeste</v>
      </c>
      <c r="L112">
        <f>MATCH(tblVendas[[#This Row],[id_produto]], tblProdutos[id_produto])</f>
        <v>1</v>
      </c>
      <c r="M112" s="2" t="str" cm="1">
        <f t="array" ref="M112">INDEX(tblProdutos[nome_produto], tblVendas[[#This Row],[posicao]])</f>
        <v>Camiseta</v>
      </c>
      <c r="N112" s="2" t="str">
        <f>INDEX(tblProdutos[nome_produto], MATCH(tblVendas[[#This Row],[id_produto]], tblProdutos[id_produto]))</f>
        <v>Camiseta</v>
      </c>
    </row>
    <row r="113" spans="1:14" x14ac:dyDescent="0.25">
      <c r="A113">
        <v>112</v>
      </c>
      <c r="B113">
        <v>3</v>
      </c>
      <c r="C113">
        <v>3</v>
      </c>
      <c r="D113" s="1">
        <v>45403</v>
      </c>
      <c r="E113" s="2" t="s">
        <v>9</v>
      </c>
      <c r="F113" t="str">
        <f>IFERROR(VLOOKUP(tblVendas[[#This Row],[id_produto]], tblProdutos[], 2, 0), "Produto não cadastrado")</f>
        <v>Tênis</v>
      </c>
      <c r="G113" s="3">
        <f>IFERROR(VLOOKUP(tblVendas[[#This Row],[id_produto]], tblProdutos[], 4, 0), "Produto não cadastrado")</f>
        <v>186</v>
      </c>
      <c r="H113" s="6" t="str">
        <f>IFERROR(VLOOKUP(tblVendas[[#This Row],[id_produto]], tblProdutos[], 3, 0), "Produto não cadastrado")</f>
        <v>Vestuário</v>
      </c>
      <c r="I113" s="3">
        <f>tblVendas[[#This Row],[quantidade]]*tblVendas[[#This Row],[preco_unitario]]</f>
        <v>558</v>
      </c>
      <c r="J113" t="str">
        <f>_xlfn.XLOOKUP(tblVendas[[#This Row],[id_produto]], tblProdutos[id_produto], tblProdutos[nome_produto], "Não encontrado")</f>
        <v>Tênis</v>
      </c>
      <c r="K113" t="str">
        <f>_xlfn.XLOOKUP(tblVendas[[#This Row],[vendedor]], tblVendedores[vendedor], tblVendedores[regiao], "Não encontrado")</f>
        <v>Sul</v>
      </c>
      <c r="L113">
        <f>MATCH(tblVendas[[#This Row],[id_produto]], tblProdutos[id_produto])</f>
        <v>3</v>
      </c>
      <c r="M113" s="2" t="str" cm="1">
        <f t="array" ref="M113">INDEX(tblProdutos[nome_produto], tblVendas[[#This Row],[posicao]])</f>
        <v>Tênis</v>
      </c>
      <c r="N113" s="2" t="str">
        <f>INDEX(tblProdutos[nome_produto], MATCH(tblVendas[[#This Row],[id_produto]], tblProdutos[id_produto]))</f>
        <v>Tênis</v>
      </c>
    </row>
    <row r="114" spans="1:14" x14ac:dyDescent="0.25">
      <c r="A114">
        <v>113</v>
      </c>
      <c r="B114">
        <v>5</v>
      </c>
      <c r="C114">
        <v>8</v>
      </c>
      <c r="D114" s="1">
        <v>45404</v>
      </c>
      <c r="E114" s="2" t="s">
        <v>6</v>
      </c>
      <c r="F114" t="str">
        <f>IFERROR(VLOOKUP(tblVendas[[#This Row],[id_produto]], tblProdutos[], 2, 0), "Produto não cadastrado")</f>
        <v>Moletom</v>
      </c>
      <c r="G114" s="3">
        <f>IFERROR(VLOOKUP(tblVendas[[#This Row],[id_produto]], tblProdutos[], 4, 0), "Produto não cadastrado")</f>
        <v>75</v>
      </c>
      <c r="H114" s="6" t="str">
        <f>IFERROR(VLOOKUP(tblVendas[[#This Row],[id_produto]], tblProdutos[], 3, 0), "Produto não cadastrado")</f>
        <v>Calçados</v>
      </c>
      <c r="I114" s="3">
        <f>tblVendas[[#This Row],[quantidade]]*tblVendas[[#This Row],[preco_unitario]]</f>
        <v>600</v>
      </c>
      <c r="J114" t="str">
        <f>_xlfn.XLOOKUP(tblVendas[[#This Row],[id_produto]], tblProdutos[id_produto], tblProdutos[nome_produto], "Não encontrado")</f>
        <v>Moletom</v>
      </c>
      <c r="K114" t="str">
        <f>_xlfn.XLOOKUP(tblVendas[[#This Row],[vendedor]], tblVendedores[vendedor], tblVendedores[regiao], "Não encontrado")</f>
        <v>Centro-Oeste</v>
      </c>
      <c r="L114">
        <f>MATCH(tblVendas[[#This Row],[id_produto]], tblProdutos[id_produto])</f>
        <v>5</v>
      </c>
      <c r="M114" s="2" t="str" cm="1">
        <f t="array" ref="M114">INDEX(tblProdutos[nome_produto], tblVendas[[#This Row],[posicao]])</f>
        <v>Moletom</v>
      </c>
      <c r="N114" s="2" t="str">
        <f>INDEX(tblProdutos[nome_produto], MATCH(tblVendas[[#This Row],[id_produto]], tblProdutos[id_produto]))</f>
        <v>Moletom</v>
      </c>
    </row>
    <row r="115" spans="1:14" x14ac:dyDescent="0.25">
      <c r="A115">
        <v>114</v>
      </c>
      <c r="B115">
        <v>3</v>
      </c>
      <c r="C115">
        <v>8</v>
      </c>
      <c r="D115" s="1">
        <v>45405</v>
      </c>
      <c r="E115" s="2" t="s">
        <v>6</v>
      </c>
      <c r="F115" t="str">
        <f>IFERROR(VLOOKUP(tblVendas[[#This Row],[id_produto]], tblProdutos[], 2, 0), "Produto não cadastrado")</f>
        <v>Tênis</v>
      </c>
      <c r="G115" s="3">
        <f>IFERROR(VLOOKUP(tblVendas[[#This Row],[id_produto]], tblProdutos[], 4, 0), "Produto não cadastrado")</f>
        <v>186</v>
      </c>
      <c r="H115" s="6" t="str">
        <f>IFERROR(VLOOKUP(tblVendas[[#This Row],[id_produto]], tblProdutos[], 3, 0), "Produto não cadastrado")</f>
        <v>Vestuário</v>
      </c>
      <c r="I115" s="3">
        <f>tblVendas[[#This Row],[quantidade]]*tblVendas[[#This Row],[preco_unitario]]</f>
        <v>1488</v>
      </c>
      <c r="J115" t="str">
        <f>_xlfn.XLOOKUP(tblVendas[[#This Row],[id_produto]], tblProdutos[id_produto], tblProdutos[nome_produto], "Não encontrado")</f>
        <v>Tênis</v>
      </c>
      <c r="K115" t="str">
        <f>_xlfn.XLOOKUP(tblVendas[[#This Row],[vendedor]], tblVendedores[vendedor], tblVendedores[regiao], "Não encontrado")</f>
        <v>Centro-Oeste</v>
      </c>
      <c r="L115">
        <f>MATCH(tblVendas[[#This Row],[id_produto]], tblProdutos[id_produto])</f>
        <v>3</v>
      </c>
      <c r="M115" s="2" t="str" cm="1">
        <f t="array" ref="M115">INDEX(tblProdutos[nome_produto], tblVendas[[#This Row],[posicao]])</f>
        <v>Tênis</v>
      </c>
      <c r="N115" s="2" t="str">
        <f>INDEX(tblProdutos[nome_produto], MATCH(tblVendas[[#This Row],[id_produto]], tblProdutos[id_produto]))</f>
        <v>Tênis</v>
      </c>
    </row>
    <row r="116" spans="1:14" x14ac:dyDescent="0.25">
      <c r="A116">
        <v>115</v>
      </c>
      <c r="B116">
        <v>1</v>
      </c>
      <c r="C116">
        <v>2</v>
      </c>
      <c r="D116" s="1">
        <v>45406</v>
      </c>
      <c r="E116" s="2" t="s">
        <v>5</v>
      </c>
      <c r="F116" t="str">
        <f>IFERROR(VLOOKUP(tblVendas[[#This Row],[id_produto]], tblProdutos[], 2, 0), "Produto não cadastrado")</f>
        <v>Camiseta</v>
      </c>
      <c r="G116" s="3">
        <f>IFERROR(VLOOKUP(tblVendas[[#This Row],[id_produto]], tblProdutos[], 4, 0), "Produto não cadastrado")</f>
        <v>174</v>
      </c>
      <c r="H116" s="6" t="str">
        <f>IFERROR(VLOOKUP(tblVendas[[#This Row],[id_produto]], tblProdutos[], 3, 0), "Produto não cadastrado")</f>
        <v>Calçados</v>
      </c>
      <c r="I116" s="3">
        <f>tblVendas[[#This Row],[quantidade]]*tblVendas[[#This Row],[preco_unitario]]</f>
        <v>348</v>
      </c>
      <c r="J116" t="str">
        <f>_xlfn.XLOOKUP(tblVendas[[#This Row],[id_produto]], tblProdutos[id_produto], tblProdutos[nome_produto], "Não encontrado")</f>
        <v>Camiseta</v>
      </c>
      <c r="K116" t="str">
        <f>_xlfn.XLOOKUP(tblVendas[[#This Row],[vendedor]], tblVendedores[vendedor], tblVendedores[regiao], "Não encontrado")</f>
        <v>Sudeste</v>
      </c>
      <c r="L116">
        <f>MATCH(tblVendas[[#This Row],[id_produto]], tblProdutos[id_produto])</f>
        <v>1</v>
      </c>
      <c r="M116" s="2" t="str" cm="1">
        <f t="array" ref="M116">INDEX(tblProdutos[nome_produto], tblVendas[[#This Row],[posicao]])</f>
        <v>Camiseta</v>
      </c>
      <c r="N116" s="2" t="str">
        <f>INDEX(tblProdutos[nome_produto], MATCH(tblVendas[[#This Row],[id_produto]], tblProdutos[id_produto]))</f>
        <v>Camiseta</v>
      </c>
    </row>
    <row r="117" spans="1:14" x14ac:dyDescent="0.25">
      <c r="A117">
        <v>116</v>
      </c>
      <c r="B117">
        <v>5</v>
      </c>
      <c r="C117">
        <v>6</v>
      </c>
      <c r="D117" s="1">
        <v>45407</v>
      </c>
      <c r="E117" s="2" t="s">
        <v>5</v>
      </c>
      <c r="F117" t="str">
        <f>IFERROR(VLOOKUP(tblVendas[[#This Row],[id_produto]], tblProdutos[], 2, 0), "Produto não cadastrado")</f>
        <v>Moletom</v>
      </c>
      <c r="G117" s="3">
        <f>IFERROR(VLOOKUP(tblVendas[[#This Row],[id_produto]], tblProdutos[], 4, 0), "Produto não cadastrado")</f>
        <v>75</v>
      </c>
      <c r="H117" s="6" t="str">
        <f>IFERROR(VLOOKUP(tblVendas[[#This Row],[id_produto]], tblProdutos[], 3, 0), "Produto não cadastrado")</f>
        <v>Calçados</v>
      </c>
      <c r="I117" s="3">
        <f>tblVendas[[#This Row],[quantidade]]*tblVendas[[#This Row],[preco_unitario]]</f>
        <v>450</v>
      </c>
      <c r="J117" t="str">
        <f>_xlfn.XLOOKUP(tblVendas[[#This Row],[id_produto]], tblProdutos[id_produto], tblProdutos[nome_produto], "Não encontrado")</f>
        <v>Moletom</v>
      </c>
      <c r="K117" t="str">
        <f>_xlfn.XLOOKUP(tblVendas[[#This Row],[vendedor]], tblVendedores[vendedor], tblVendedores[regiao], "Não encontrado")</f>
        <v>Sudeste</v>
      </c>
      <c r="L117">
        <f>MATCH(tblVendas[[#This Row],[id_produto]], tblProdutos[id_produto])</f>
        <v>5</v>
      </c>
      <c r="M117" s="2" t="str" cm="1">
        <f t="array" ref="M117">INDEX(tblProdutos[nome_produto], tblVendas[[#This Row],[posicao]])</f>
        <v>Moletom</v>
      </c>
      <c r="N117" s="2" t="str">
        <f>INDEX(tblProdutos[nome_produto], MATCH(tblVendas[[#This Row],[id_produto]], tblProdutos[id_produto]))</f>
        <v>Moletom</v>
      </c>
    </row>
    <row r="118" spans="1:14" x14ac:dyDescent="0.25">
      <c r="A118">
        <v>117</v>
      </c>
      <c r="B118">
        <v>10</v>
      </c>
      <c r="C118">
        <v>7</v>
      </c>
      <c r="D118" s="1">
        <v>45408</v>
      </c>
      <c r="E118" s="2" t="s">
        <v>5</v>
      </c>
      <c r="F118" t="str">
        <f>IFERROR(VLOOKUP(tblVendas[[#This Row],[id_produto]], tblProdutos[], 2, 0), "Produto não cadastrado")</f>
        <v>Cinto</v>
      </c>
      <c r="G118" s="3">
        <f>IFERROR(VLOOKUP(tblVendas[[#This Row],[id_produto]], tblProdutos[], 4, 0), "Produto não cadastrado")</f>
        <v>76</v>
      </c>
      <c r="H118" s="6" t="str">
        <f>IFERROR(VLOOKUP(tblVendas[[#This Row],[id_produto]], tblProdutos[], 3, 0), "Produto não cadastrado")</f>
        <v>Acessórios</v>
      </c>
      <c r="I118" s="3">
        <f>tblVendas[[#This Row],[quantidade]]*tblVendas[[#This Row],[preco_unitario]]</f>
        <v>532</v>
      </c>
      <c r="J118" t="str">
        <f>_xlfn.XLOOKUP(tblVendas[[#This Row],[id_produto]], tblProdutos[id_produto], tblProdutos[nome_produto], "Não encontrado")</f>
        <v>Cinto</v>
      </c>
      <c r="K118" t="str">
        <f>_xlfn.XLOOKUP(tblVendas[[#This Row],[vendedor]], tblVendedores[vendedor], tblVendedores[regiao], "Não encontrado")</f>
        <v>Sudeste</v>
      </c>
      <c r="L118">
        <f>MATCH(tblVendas[[#This Row],[id_produto]], tblProdutos[id_produto])</f>
        <v>10</v>
      </c>
      <c r="M118" s="2" t="str" cm="1">
        <f t="array" ref="M118">INDEX(tblProdutos[nome_produto], tblVendas[[#This Row],[posicao]])</f>
        <v>Cinto</v>
      </c>
      <c r="N118" s="2" t="str">
        <f>INDEX(tblProdutos[nome_produto], MATCH(tblVendas[[#This Row],[id_produto]], tblProdutos[id_produto]))</f>
        <v>Cinto</v>
      </c>
    </row>
    <row r="119" spans="1:14" x14ac:dyDescent="0.25">
      <c r="A119">
        <v>118</v>
      </c>
      <c r="B119">
        <v>7</v>
      </c>
      <c r="C119">
        <v>2</v>
      </c>
      <c r="D119" s="1">
        <v>45409</v>
      </c>
      <c r="E119" s="2" t="s">
        <v>6</v>
      </c>
      <c r="F119" t="str">
        <f>IFERROR(VLOOKUP(tblVendas[[#This Row],[id_produto]], tblProdutos[], 2, 0), "Produto não cadastrado")</f>
        <v>Jaqueta</v>
      </c>
      <c r="G119" s="3">
        <f>IFERROR(VLOOKUP(tblVendas[[#This Row],[id_produto]], tblProdutos[], 4, 0), "Produto não cadastrado")</f>
        <v>163</v>
      </c>
      <c r="H119" s="6" t="str">
        <f>IFERROR(VLOOKUP(tblVendas[[#This Row],[id_produto]], tblProdutos[], 3, 0), "Produto não cadastrado")</f>
        <v>Calçados</v>
      </c>
      <c r="I119" s="3">
        <f>tblVendas[[#This Row],[quantidade]]*tblVendas[[#This Row],[preco_unitario]]</f>
        <v>326</v>
      </c>
      <c r="J119" t="str">
        <f>_xlfn.XLOOKUP(tblVendas[[#This Row],[id_produto]], tblProdutos[id_produto], tblProdutos[nome_produto], "Não encontrado")</f>
        <v>Jaqueta</v>
      </c>
      <c r="K119" t="str">
        <f>_xlfn.XLOOKUP(tblVendas[[#This Row],[vendedor]], tblVendedores[vendedor], tblVendedores[regiao], "Não encontrado")</f>
        <v>Centro-Oeste</v>
      </c>
      <c r="L119">
        <f>MATCH(tblVendas[[#This Row],[id_produto]], tblProdutos[id_produto])</f>
        <v>7</v>
      </c>
      <c r="M119" s="2" t="str" cm="1">
        <f t="array" ref="M119">INDEX(tblProdutos[nome_produto], tblVendas[[#This Row],[posicao]])</f>
        <v>Jaqueta</v>
      </c>
      <c r="N119" s="2" t="str">
        <f>INDEX(tblProdutos[nome_produto], MATCH(tblVendas[[#This Row],[id_produto]], tblProdutos[id_produto]))</f>
        <v>Jaqueta</v>
      </c>
    </row>
    <row r="120" spans="1:14" x14ac:dyDescent="0.25">
      <c r="A120">
        <v>119</v>
      </c>
      <c r="B120">
        <v>7</v>
      </c>
      <c r="C120">
        <v>2</v>
      </c>
      <c r="D120" s="1">
        <v>45410</v>
      </c>
      <c r="E120" s="2" t="s">
        <v>8</v>
      </c>
      <c r="F120" t="str">
        <f>IFERROR(VLOOKUP(tblVendas[[#This Row],[id_produto]], tblProdutos[], 2, 0), "Produto não cadastrado")</f>
        <v>Jaqueta</v>
      </c>
      <c r="G120" s="3">
        <f>IFERROR(VLOOKUP(tblVendas[[#This Row],[id_produto]], tblProdutos[], 4, 0), "Produto não cadastrado")</f>
        <v>163</v>
      </c>
      <c r="H120" s="6" t="str">
        <f>IFERROR(VLOOKUP(tblVendas[[#This Row],[id_produto]], tblProdutos[], 3, 0), "Produto não cadastrado")</f>
        <v>Calçados</v>
      </c>
      <c r="I120" s="3">
        <f>tblVendas[[#This Row],[quantidade]]*tblVendas[[#This Row],[preco_unitario]]</f>
        <v>326</v>
      </c>
      <c r="J120" t="str">
        <f>_xlfn.XLOOKUP(tblVendas[[#This Row],[id_produto]], tblProdutos[id_produto], tblProdutos[nome_produto], "Não encontrado")</f>
        <v>Jaqueta</v>
      </c>
      <c r="K120" t="str">
        <f>_xlfn.XLOOKUP(tblVendas[[#This Row],[vendedor]], tblVendedores[vendedor], tblVendedores[regiao], "Não encontrado")</f>
        <v>Nordeste</v>
      </c>
      <c r="L120">
        <f>MATCH(tblVendas[[#This Row],[id_produto]], tblProdutos[id_produto])</f>
        <v>7</v>
      </c>
      <c r="M120" s="2" t="str" cm="1">
        <f t="array" ref="M120">INDEX(tblProdutos[nome_produto], tblVendas[[#This Row],[posicao]])</f>
        <v>Jaqueta</v>
      </c>
      <c r="N120" s="2" t="str">
        <f>INDEX(tblProdutos[nome_produto], MATCH(tblVendas[[#This Row],[id_produto]], tblProdutos[id_produto]))</f>
        <v>Jaqueta</v>
      </c>
    </row>
    <row r="121" spans="1:14" x14ac:dyDescent="0.25">
      <c r="A121">
        <v>120</v>
      </c>
      <c r="B121">
        <v>9</v>
      </c>
      <c r="C121">
        <v>1</v>
      </c>
      <c r="D121" s="1">
        <v>45411</v>
      </c>
      <c r="E121" s="2" t="s">
        <v>6</v>
      </c>
      <c r="F121" t="str">
        <f>IFERROR(VLOOKUP(tblVendas[[#This Row],[id_produto]], tblProdutos[], 2, 0), "Produto não cadastrado")</f>
        <v>Meia</v>
      </c>
      <c r="G121" s="3">
        <f>IFERROR(VLOOKUP(tblVendas[[#This Row],[id_produto]], tblProdutos[], 4, 0), "Produto não cadastrado")</f>
        <v>144</v>
      </c>
      <c r="H121" s="6" t="str">
        <f>IFERROR(VLOOKUP(tblVendas[[#This Row],[id_produto]], tblProdutos[], 3, 0), "Produto não cadastrado")</f>
        <v>Vestuário</v>
      </c>
      <c r="I121" s="3">
        <f>tblVendas[[#This Row],[quantidade]]*tblVendas[[#This Row],[preco_unitario]]</f>
        <v>144</v>
      </c>
      <c r="J121" t="str">
        <f>_xlfn.XLOOKUP(tblVendas[[#This Row],[id_produto]], tblProdutos[id_produto], tblProdutos[nome_produto], "Não encontrado")</f>
        <v>Meia</v>
      </c>
      <c r="K121" t="str">
        <f>_xlfn.XLOOKUP(tblVendas[[#This Row],[vendedor]], tblVendedores[vendedor], tblVendedores[regiao], "Não encontrado")</f>
        <v>Centro-Oeste</v>
      </c>
      <c r="L121">
        <f>MATCH(tblVendas[[#This Row],[id_produto]], tblProdutos[id_produto])</f>
        <v>9</v>
      </c>
      <c r="M121" s="2" t="str" cm="1">
        <f t="array" ref="M121">INDEX(tblProdutos[nome_produto], tblVendas[[#This Row],[posicao]])</f>
        <v>Meia</v>
      </c>
      <c r="N121" s="2" t="str">
        <f>INDEX(tblProdutos[nome_produto], MATCH(tblVendas[[#This Row],[id_produto]], tblProdutos[id_produto]))</f>
        <v>Meia</v>
      </c>
    </row>
    <row r="122" spans="1:14" x14ac:dyDescent="0.25">
      <c r="A122">
        <v>121</v>
      </c>
      <c r="B122">
        <v>10</v>
      </c>
      <c r="C122">
        <v>8</v>
      </c>
      <c r="D122" s="1">
        <v>45412</v>
      </c>
      <c r="E122" s="2" t="s">
        <v>8</v>
      </c>
      <c r="F122" t="str">
        <f>IFERROR(VLOOKUP(tblVendas[[#This Row],[id_produto]], tblProdutos[], 2, 0), "Produto não cadastrado")</f>
        <v>Cinto</v>
      </c>
      <c r="G122" s="3">
        <f>IFERROR(VLOOKUP(tblVendas[[#This Row],[id_produto]], tblProdutos[], 4, 0), "Produto não cadastrado")</f>
        <v>76</v>
      </c>
      <c r="H122" s="6" t="str">
        <f>IFERROR(VLOOKUP(tblVendas[[#This Row],[id_produto]], tblProdutos[], 3, 0), "Produto não cadastrado")</f>
        <v>Acessórios</v>
      </c>
      <c r="I122" s="3">
        <f>tblVendas[[#This Row],[quantidade]]*tblVendas[[#This Row],[preco_unitario]]</f>
        <v>608</v>
      </c>
      <c r="J122" t="str">
        <f>_xlfn.XLOOKUP(tblVendas[[#This Row],[id_produto]], tblProdutos[id_produto], tblProdutos[nome_produto], "Não encontrado")</f>
        <v>Cinto</v>
      </c>
      <c r="K122" t="str">
        <f>_xlfn.XLOOKUP(tblVendas[[#This Row],[vendedor]], tblVendedores[vendedor], tblVendedores[regiao], "Não encontrado")</f>
        <v>Nordeste</v>
      </c>
      <c r="L122">
        <f>MATCH(tblVendas[[#This Row],[id_produto]], tblProdutos[id_produto])</f>
        <v>10</v>
      </c>
      <c r="M122" s="2" t="str" cm="1">
        <f t="array" ref="M122">INDEX(tblProdutos[nome_produto], tblVendas[[#This Row],[posicao]])</f>
        <v>Cinto</v>
      </c>
      <c r="N122" s="2" t="str">
        <f>INDEX(tblProdutos[nome_produto], MATCH(tblVendas[[#This Row],[id_produto]], tblProdutos[id_produto]))</f>
        <v>Cinto</v>
      </c>
    </row>
    <row r="123" spans="1:14" x14ac:dyDescent="0.25">
      <c r="A123">
        <v>122</v>
      </c>
      <c r="B123">
        <v>10</v>
      </c>
      <c r="C123">
        <v>1</v>
      </c>
      <c r="D123" s="1">
        <v>45413</v>
      </c>
      <c r="E123" s="2" t="s">
        <v>8</v>
      </c>
      <c r="F123" t="str">
        <f>IFERROR(VLOOKUP(tblVendas[[#This Row],[id_produto]], tblProdutos[], 2, 0), "Produto não cadastrado")</f>
        <v>Cinto</v>
      </c>
      <c r="G123" s="3">
        <f>IFERROR(VLOOKUP(tblVendas[[#This Row],[id_produto]], tblProdutos[], 4, 0), "Produto não cadastrado")</f>
        <v>76</v>
      </c>
      <c r="H123" s="6" t="str">
        <f>IFERROR(VLOOKUP(tblVendas[[#This Row],[id_produto]], tblProdutos[], 3, 0), "Produto não cadastrado")</f>
        <v>Acessórios</v>
      </c>
      <c r="I123" s="3">
        <f>tblVendas[[#This Row],[quantidade]]*tblVendas[[#This Row],[preco_unitario]]</f>
        <v>76</v>
      </c>
      <c r="J123" t="str">
        <f>_xlfn.XLOOKUP(tblVendas[[#This Row],[id_produto]], tblProdutos[id_produto], tblProdutos[nome_produto], "Não encontrado")</f>
        <v>Cinto</v>
      </c>
      <c r="K123" t="str">
        <f>_xlfn.XLOOKUP(tblVendas[[#This Row],[vendedor]], tblVendedores[vendedor], tblVendedores[regiao], "Não encontrado")</f>
        <v>Nordeste</v>
      </c>
      <c r="L123">
        <f>MATCH(tblVendas[[#This Row],[id_produto]], tblProdutos[id_produto])</f>
        <v>10</v>
      </c>
      <c r="M123" s="2" t="str" cm="1">
        <f t="array" ref="M123">INDEX(tblProdutos[nome_produto], tblVendas[[#This Row],[posicao]])</f>
        <v>Cinto</v>
      </c>
      <c r="N123" s="2" t="str">
        <f>INDEX(tblProdutos[nome_produto], MATCH(tblVendas[[#This Row],[id_produto]], tblProdutos[id_produto]))</f>
        <v>Cinto</v>
      </c>
    </row>
    <row r="124" spans="1:14" x14ac:dyDescent="0.25">
      <c r="A124">
        <v>123</v>
      </c>
      <c r="B124">
        <v>3</v>
      </c>
      <c r="C124">
        <v>9</v>
      </c>
      <c r="D124" s="1">
        <v>45414</v>
      </c>
      <c r="E124" s="2" t="s">
        <v>5</v>
      </c>
      <c r="F124" t="str">
        <f>IFERROR(VLOOKUP(tblVendas[[#This Row],[id_produto]], tblProdutos[], 2, 0), "Produto não cadastrado")</f>
        <v>Tênis</v>
      </c>
      <c r="G124" s="3">
        <f>IFERROR(VLOOKUP(tblVendas[[#This Row],[id_produto]], tblProdutos[], 4, 0), "Produto não cadastrado")</f>
        <v>186</v>
      </c>
      <c r="H124" s="6" t="str">
        <f>IFERROR(VLOOKUP(tblVendas[[#This Row],[id_produto]], tblProdutos[], 3, 0), "Produto não cadastrado")</f>
        <v>Vestuário</v>
      </c>
      <c r="I124" s="3">
        <f>tblVendas[[#This Row],[quantidade]]*tblVendas[[#This Row],[preco_unitario]]</f>
        <v>1674</v>
      </c>
      <c r="J124" t="str">
        <f>_xlfn.XLOOKUP(tblVendas[[#This Row],[id_produto]], tblProdutos[id_produto], tblProdutos[nome_produto], "Não encontrado")</f>
        <v>Tênis</v>
      </c>
      <c r="K124" t="str">
        <f>_xlfn.XLOOKUP(tblVendas[[#This Row],[vendedor]], tblVendedores[vendedor], tblVendedores[regiao], "Não encontrado")</f>
        <v>Sudeste</v>
      </c>
      <c r="L124">
        <f>MATCH(tblVendas[[#This Row],[id_produto]], tblProdutos[id_produto])</f>
        <v>3</v>
      </c>
      <c r="M124" s="2" t="str" cm="1">
        <f t="array" ref="M124">INDEX(tblProdutos[nome_produto], tblVendas[[#This Row],[posicao]])</f>
        <v>Tênis</v>
      </c>
      <c r="N124" s="2" t="str">
        <f>INDEX(tblProdutos[nome_produto], MATCH(tblVendas[[#This Row],[id_produto]], tblProdutos[id_produto]))</f>
        <v>Tênis</v>
      </c>
    </row>
    <row r="125" spans="1:14" x14ac:dyDescent="0.25">
      <c r="A125">
        <v>124</v>
      </c>
      <c r="B125">
        <v>7</v>
      </c>
      <c r="C125">
        <v>6</v>
      </c>
      <c r="D125" s="1">
        <v>45415</v>
      </c>
      <c r="E125" s="2" t="s">
        <v>7</v>
      </c>
      <c r="F125" t="str">
        <f>IFERROR(VLOOKUP(tblVendas[[#This Row],[id_produto]], tblProdutos[], 2, 0), "Produto não cadastrado")</f>
        <v>Jaqueta</v>
      </c>
      <c r="G125" s="3">
        <f>IFERROR(VLOOKUP(tblVendas[[#This Row],[id_produto]], tblProdutos[], 4, 0), "Produto não cadastrado")</f>
        <v>163</v>
      </c>
      <c r="H125" s="6" t="str">
        <f>IFERROR(VLOOKUP(tblVendas[[#This Row],[id_produto]], tblProdutos[], 3, 0), "Produto não cadastrado")</f>
        <v>Calçados</v>
      </c>
      <c r="I125" s="3">
        <f>tblVendas[[#This Row],[quantidade]]*tblVendas[[#This Row],[preco_unitario]]</f>
        <v>978</v>
      </c>
      <c r="J125" t="str">
        <f>_xlfn.XLOOKUP(tblVendas[[#This Row],[id_produto]], tblProdutos[id_produto], tblProdutos[nome_produto], "Não encontrado")</f>
        <v>Jaqueta</v>
      </c>
      <c r="K125" t="str">
        <f>_xlfn.XLOOKUP(tblVendas[[#This Row],[vendedor]], tblVendedores[vendedor], tblVendedores[regiao], "Não encontrado")</f>
        <v>Norte</v>
      </c>
      <c r="L125">
        <f>MATCH(tblVendas[[#This Row],[id_produto]], tblProdutos[id_produto])</f>
        <v>7</v>
      </c>
      <c r="M125" s="2" t="str" cm="1">
        <f t="array" ref="M125">INDEX(tblProdutos[nome_produto], tblVendas[[#This Row],[posicao]])</f>
        <v>Jaqueta</v>
      </c>
      <c r="N125" s="2" t="str">
        <f>INDEX(tblProdutos[nome_produto], MATCH(tblVendas[[#This Row],[id_produto]], tblProdutos[id_produto]))</f>
        <v>Jaqueta</v>
      </c>
    </row>
    <row r="126" spans="1:14" x14ac:dyDescent="0.25">
      <c r="A126">
        <v>125</v>
      </c>
      <c r="B126">
        <v>1</v>
      </c>
      <c r="C126">
        <v>7</v>
      </c>
      <c r="D126" s="1">
        <v>45416</v>
      </c>
      <c r="E126" s="2" t="s">
        <v>9</v>
      </c>
      <c r="F126" t="str">
        <f>IFERROR(VLOOKUP(tblVendas[[#This Row],[id_produto]], tblProdutos[], 2, 0), "Produto não cadastrado")</f>
        <v>Camiseta</v>
      </c>
      <c r="G126" s="3">
        <f>IFERROR(VLOOKUP(tblVendas[[#This Row],[id_produto]], tblProdutos[], 4, 0), "Produto não cadastrado")</f>
        <v>174</v>
      </c>
      <c r="H126" s="6" t="str">
        <f>IFERROR(VLOOKUP(tblVendas[[#This Row],[id_produto]], tblProdutos[], 3, 0), "Produto não cadastrado")</f>
        <v>Calçados</v>
      </c>
      <c r="I126" s="3">
        <f>tblVendas[[#This Row],[quantidade]]*tblVendas[[#This Row],[preco_unitario]]</f>
        <v>1218</v>
      </c>
      <c r="J126" t="str">
        <f>_xlfn.XLOOKUP(tblVendas[[#This Row],[id_produto]], tblProdutos[id_produto], tblProdutos[nome_produto], "Não encontrado")</f>
        <v>Camiseta</v>
      </c>
      <c r="K126" t="str">
        <f>_xlfn.XLOOKUP(tblVendas[[#This Row],[vendedor]], tblVendedores[vendedor], tblVendedores[regiao], "Não encontrado")</f>
        <v>Sul</v>
      </c>
      <c r="L126">
        <f>MATCH(tblVendas[[#This Row],[id_produto]], tblProdutos[id_produto])</f>
        <v>1</v>
      </c>
      <c r="M126" s="2" t="str" cm="1">
        <f t="array" ref="M126">INDEX(tblProdutos[nome_produto], tblVendas[[#This Row],[posicao]])</f>
        <v>Camiseta</v>
      </c>
      <c r="N126" s="2" t="str">
        <f>INDEX(tblProdutos[nome_produto], MATCH(tblVendas[[#This Row],[id_produto]], tblProdutos[id_produto]))</f>
        <v>Camiseta</v>
      </c>
    </row>
    <row r="127" spans="1:14" x14ac:dyDescent="0.25">
      <c r="A127">
        <v>126</v>
      </c>
      <c r="B127">
        <v>4</v>
      </c>
      <c r="C127">
        <v>7</v>
      </c>
      <c r="D127" s="1">
        <v>45417</v>
      </c>
      <c r="E127" s="2" t="s">
        <v>5</v>
      </c>
      <c r="F127" t="str">
        <f>IFERROR(VLOOKUP(tblVendas[[#This Row],[id_produto]], tblProdutos[], 2, 0), "Produto não cadastrado")</f>
        <v>Boné</v>
      </c>
      <c r="G127" s="3">
        <f>IFERROR(VLOOKUP(tblVendas[[#This Row],[id_produto]], tblProdutos[], 4, 0), "Produto não cadastrado")</f>
        <v>170</v>
      </c>
      <c r="H127" s="6" t="str">
        <f>IFERROR(VLOOKUP(tblVendas[[#This Row],[id_produto]], tblProdutos[], 3, 0), "Produto não cadastrado")</f>
        <v>Calçados</v>
      </c>
      <c r="I127" s="3">
        <f>tblVendas[[#This Row],[quantidade]]*tblVendas[[#This Row],[preco_unitario]]</f>
        <v>1190</v>
      </c>
      <c r="J127" t="str">
        <f>_xlfn.XLOOKUP(tblVendas[[#This Row],[id_produto]], tblProdutos[id_produto], tblProdutos[nome_produto], "Não encontrado")</f>
        <v>Boné</v>
      </c>
      <c r="K127" t="str">
        <f>_xlfn.XLOOKUP(tblVendas[[#This Row],[vendedor]], tblVendedores[vendedor], tblVendedores[regiao], "Não encontrado")</f>
        <v>Sudeste</v>
      </c>
      <c r="L127">
        <f>MATCH(tblVendas[[#This Row],[id_produto]], tblProdutos[id_produto])</f>
        <v>4</v>
      </c>
      <c r="M127" s="2" t="str" cm="1">
        <f t="array" ref="M127">INDEX(tblProdutos[nome_produto], tblVendas[[#This Row],[posicao]])</f>
        <v>Boné</v>
      </c>
      <c r="N127" s="2" t="str">
        <f>INDEX(tblProdutos[nome_produto], MATCH(tblVendas[[#This Row],[id_produto]], tblProdutos[id_produto]))</f>
        <v>Boné</v>
      </c>
    </row>
    <row r="128" spans="1:14" x14ac:dyDescent="0.25">
      <c r="A128">
        <v>127</v>
      </c>
      <c r="B128">
        <v>4</v>
      </c>
      <c r="C128">
        <v>3</v>
      </c>
      <c r="D128" s="1">
        <v>45418</v>
      </c>
      <c r="E128" s="2" t="s">
        <v>5</v>
      </c>
      <c r="F128" t="str">
        <f>IFERROR(VLOOKUP(tblVendas[[#This Row],[id_produto]], tblProdutos[], 2, 0), "Produto não cadastrado")</f>
        <v>Boné</v>
      </c>
      <c r="G128" s="3">
        <f>IFERROR(VLOOKUP(tblVendas[[#This Row],[id_produto]], tblProdutos[], 4, 0), "Produto não cadastrado")</f>
        <v>170</v>
      </c>
      <c r="H128" s="6" t="str">
        <f>IFERROR(VLOOKUP(tblVendas[[#This Row],[id_produto]], tblProdutos[], 3, 0), "Produto não cadastrado")</f>
        <v>Calçados</v>
      </c>
      <c r="I128" s="3">
        <f>tblVendas[[#This Row],[quantidade]]*tblVendas[[#This Row],[preco_unitario]]</f>
        <v>510</v>
      </c>
      <c r="J128" t="str">
        <f>_xlfn.XLOOKUP(tblVendas[[#This Row],[id_produto]], tblProdutos[id_produto], tblProdutos[nome_produto], "Não encontrado")</f>
        <v>Boné</v>
      </c>
      <c r="K128" t="str">
        <f>_xlfn.XLOOKUP(tblVendas[[#This Row],[vendedor]], tblVendedores[vendedor], tblVendedores[regiao], "Não encontrado")</f>
        <v>Sudeste</v>
      </c>
      <c r="L128">
        <f>MATCH(tblVendas[[#This Row],[id_produto]], tblProdutos[id_produto])</f>
        <v>4</v>
      </c>
      <c r="M128" s="2" t="str" cm="1">
        <f t="array" ref="M128">INDEX(tblProdutos[nome_produto], tblVendas[[#This Row],[posicao]])</f>
        <v>Boné</v>
      </c>
      <c r="N128" s="2" t="str">
        <f>INDEX(tblProdutos[nome_produto], MATCH(tblVendas[[#This Row],[id_produto]], tblProdutos[id_produto]))</f>
        <v>Boné</v>
      </c>
    </row>
    <row r="129" spans="1:14" x14ac:dyDescent="0.25">
      <c r="A129">
        <v>128</v>
      </c>
      <c r="B129">
        <v>5</v>
      </c>
      <c r="C129">
        <v>2</v>
      </c>
      <c r="D129" s="1">
        <v>45419</v>
      </c>
      <c r="E129" s="2" t="s">
        <v>7</v>
      </c>
      <c r="F129" t="str">
        <f>IFERROR(VLOOKUP(tblVendas[[#This Row],[id_produto]], tblProdutos[], 2, 0), "Produto não cadastrado")</f>
        <v>Moletom</v>
      </c>
      <c r="G129" s="3">
        <f>IFERROR(VLOOKUP(tblVendas[[#This Row],[id_produto]], tblProdutos[], 4, 0), "Produto não cadastrado")</f>
        <v>75</v>
      </c>
      <c r="H129" s="6" t="str">
        <f>IFERROR(VLOOKUP(tblVendas[[#This Row],[id_produto]], tblProdutos[], 3, 0), "Produto não cadastrado")</f>
        <v>Calçados</v>
      </c>
      <c r="I129" s="3">
        <f>tblVendas[[#This Row],[quantidade]]*tblVendas[[#This Row],[preco_unitario]]</f>
        <v>150</v>
      </c>
      <c r="J129" t="str">
        <f>_xlfn.XLOOKUP(tblVendas[[#This Row],[id_produto]], tblProdutos[id_produto], tblProdutos[nome_produto], "Não encontrado")</f>
        <v>Moletom</v>
      </c>
      <c r="K129" t="str">
        <f>_xlfn.XLOOKUP(tblVendas[[#This Row],[vendedor]], tblVendedores[vendedor], tblVendedores[regiao], "Não encontrado")</f>
        <v>Norte</v>
      </c>
      <c r="L129">
        <f>MATCH(tblVendas[[#This Row],[id_produto]], tblProdutos[id_produto])</f>
        <v>5</v>
      </c>
      <c r="M129" s="2" t="str" cm="1">
        <f t="array" ref="M129">INDEX(tblProdutos[nome_produto], tblVendas[[#This Row],[posicao]])</f>
        <v>Moletom</v>
      </c>
      <c r="N129" s="2" t="str">
        <f>INDEX(tblProdutos[nome_produto], MATCH(tblVendas[[#This Row],[id_produto]], tblProdutos[id_produto]))</f>
        <v>Moletom</v>
      </c>
    </row>
    <row r="130" spans="1:14" x14ac:dyDescent="0.25">
      <c r="A130">
        <v>129</v>
      </c>
      <c r="B130">
        <v>7</v>
      </c>
      <c r="C130">
        <v>9</v>
      </c>
      <c r="D130" s="1">
        <v>45420</v>
      </c>
      <c r="E130" s="2" t="s">
        <v>9</v>
      </c>
      <c r="F130" t="str">
        <f>IFERROR(VLOOKUP(tblVendas[[#This Row],[id_produto]], tblProdutos[], 2, 0), "Produto não cadastrado")</f>
        <v>Jaqueta</v>
      </c>
      <c r="G130" s="3">
        <f>IFERROR(VLOOKUP(tblVendas[[#This Row],[id_produto]], tblProdutos[], 4, 0), "Produto não cadastrado")</f>
        <v>163</v>
      </c>
      <c r="H130" s="6" t="str">
        <f>IFERROR(VLOOKUP(tblVendas[[#This Row],[id_produto]], tblProdutos[], 3, 0), "Produto não cadastrado")</f>
        <v>Calçados</v>
      </c>
      <c r="I130" s="3">
        <f>tblVendas[[#This Row],[quantidade]]*tblVendas[[#This Row],[preco_unitario]]</f>
        <v>1467</v>
      </c>
      <c r="J130" t="str">
        <f>_xlfn.XLOOKUP(tblVendas[[#This Row],[id_produto]], tblProdutos[id_produto], tblProdutos[nome_produto], "Não encontrado")</f>
        <v>Jaqueta</v>
      </c>
      <c r="K130" t="str">
        <f>_xlfn.XLOOKUP(tblVendas[[#This Row],[vendedor]], tblVendedores[vendedor], tblVendedores[regiao], "Não encontrado")</f>
        <v>Sul</v>
      </c>
      <c r="L130">
        <f>MATCH(tblVendas[[#This Row],[id_produto]], tblProdutos[id_produto])</f>
        <v>7</v>
      </c>
      <c r="M130" s="2" t="str" cm="1">
        <f t="array" ref="M130">INDEX(tblProdutos[nome_produto], tblVendas[[#This Row],[posicao]])</f>
        <v>Jaqueta</v>
      </c>
      <c r="N130" s="2" t="str">
        <f>INDEX(tblProdutos[nome_produto], MATCH(tblVendas[[#This Row],[id_produto]], tblProdutos[id_produto]))</f>
        <v>Jaqueta</v>
      </c>
    </row>
    <row r="131" spans="1:14" x14ac:dyDescent="0.25">
      <c r="A131">
        <v>130</v>
      </c>
      <c r="B131">
        <v>7</v>
      </c>
      <c r="C131">
        <v>8</v>
      </c>
      <c r="D131" s="1">
        <v>45421</v>
      </c>
      <c r="E131" s="2" t="s">
        <v>6</v>
      </c>
      <c r="F131" t="str">
        <f>IFERROR(VLOOKUP(tblVendas[[#This Row],[id_produto]], tblProdutos[], 2, 0), "Produto não cadastrado")</f>
        <v>Jaqueta</v>
      </c>
      <c r="G131" s="3">
        <f>IFERROR(VLOOKUP(tblVendas[[#This Row],[id_produto]], tblProdutos[], 4, 0), "Produto não cadastrado")</f>
        <v>163</v>
      </c>
      <c r="H131" s="6" t="str">
        <f>IFERROR(VLOOKUP(tblVendas[[#This Row],[id_produto]], tblProdutos[], 3, 0), "Produto não cadastrado")</f>
        <v>Calçados</v>
      </c>
      <c r="I131" s="3">
        <f>tblVendas[[#This Row],[quantidade]]*tblVendas[[#This Row],[preco_unitario]]</f>
        <v>1304</v>
      </c>
      <c r="J131" t="str">
        <f>_xlfn.XLOOKUP(tblVendas[[#This Row],[id_produto]], tblProdutos[id_produto], tblProdutos[nome_produto], "Não encontrado")</f>
        <v>Jaqueta</v>
      </c>
      <c r="K131" t="str">
        <f>_xlfn.XLOOKUP(tblVendas[[#This Row],[vendedor]], tblVendedores[vendedor], tblVendedores[regiao], "Não encontrado")</f>
        <v>Centro-Oeste</v>
      </c>
      <c r="L131">
        <f>MATCH(tblVendas[[#This Row],[id_produto]], tblProdutos[id_produto])</f>
        <v>7</v>
      </c>
      <c r="M131" s="2" t="str" cm="1">
        <f t="array" ref="M131">INDEX(tblProdutos[nome_produto], tblVendas[[#This Row],[posicao]])</f>
        <v>Jaqueta</v>
      </c>
      <c r="N131" s="2" t="str">
        <f>INDEX(tblProdutos[nome_produto], MATCH(tblVendas[[#This Row],[id_produto]], tblProdutos[id_produto]))</f>
        <v>Jaqueta</v>
      </c>
    </row>
    <row r="132" spans="1:14" x14ac:dyDescent="0.25">
      <c r="A132">
        <v>131</v>
      </c>
      <c r="B132">
        <v>4</v>
      </c>
      <c r="C132">
        <v>7</v>
      </c>
      <c r="D132" s="1">
        <v>45422</v>
      </c>
      <c r="E132" s="2" t="s">
        <v>6</v>
      </c>
      <c r="F132" t="str">
        <f>IFERROR(VLOOKUP(tblVendas[[#This Row],[id_produto]], tblProdutos[], 2, 0), "Produto não cadastrado")</f>
        <v>Boné</v>
      </c>
      <c r="G132" s="3">
        <f>IFERROR(VLOOKUP(tblVendas[[#This Row],[id_produto]], tblProdutos[], 4, 0), "Produto não cadastrado")</f>
        <v>170</v>
      </c>
      <c r="H132" s="6" t="str">
        <f>IFERROR(VLOOKUP(tblVendas[[#This Row],[id_produto]], tblProdutos[], 3, 0), "Produto não cadastrado")</f>
        <v>Calçados</v>
      </c>
      <c r="I132" s="3">
        <f>tblVendas[[#This Row],[quantidade]]*tblVendas[[#This Row],[preco_unitario]]</f>
        <v>1190</v>
      </c>
      <c r="J132" t="str">
        <f>_xlfn.XLOOKUP(tblVendas[[#This Row],[id_produto]], tblProdutos[id_produto], tblProdutos[nome_produto], "Não encontrado")</f>
        <v>Boné</v>
      </c>
      <c r="K132" t="str">
        <f>_xlfn.XLOOKUP(tblVendas[[#This Row],[vendedor]], tblVendedores[vendedor], tblVendedores[regiao], "Não encontrado")</f>
        <v>Centro-Oeste</v>
      </c>
      <c r="L132">
        <f>MATCH(tblVendas[[#This Row],[id_produto]], tblProdutos[id_produto])</f>
        <v>4</v>
      </c>
      <c r="M132" s="2" t="str" cm="1">
        <f t="array" ref="M132">INDEX(tblProdutos[nome_produto], tblVendas[[#This Row],[posicao]])</f>
        <v>Boné</v>
      </c>
      <c r="N132" s="2" t="str">
        <f>INDEX(tblProdutos[nome_produto], MATCH(tblVendas[[#This Row],[id_produto]], tblProdutos[id_produto]))</f>
        <v>Boné</v>
      </c>
    </row>
    <row r="133" spans="1:14" x14ac:dyDescent="0.25">
      <c r="A133">
        <v>132</v>
      </c>
      <c r="B133">
        <v>7</v>
      </c>
      <c r="C133">
        <v>9</v>
      </c>
      <c r="D133" s="1">
        <v>45423</v>
      </c>
      <c r="E133" s="2" t="s">
        <v>5</v>
      </c>
      <c r="F133" t="str">
        <f>IFERROR(VLOOKUP(tblVendas[[#This Row],[id_produto]], tblProdutos[], 2, 0), "Produto não cadastrado")</f>
        <v>Jaqueta</v>
      </c>
      <c r="G133" s="3">
        <f>IFERROR(VLOOKUP(tblVendas[[#This Row],[id_produto]], tblProdutos[], 4, 0), "Produto não cadastrado")</f>
        <v>163</v>
      </c>
      <c r="H133" s="6" t="str">
        <f>IFERROR(VLOOKUP(tblVendas[[#This Row],[id_produto]], tblProdutos[], 3, 0), "Produto não cadastrado")</f>
        <v>Calçados</v>
      </c>
      <c r="I133" s="3">
        <f>tblVendas[[#This Row],[quantidade]]*tblVendas[[#This Row],[preco_unitario]]</f>
        <v>1467</v>
      </c>
      <c r="J133" t="str">
        <f>_xlfn.XLOOKUP(tblVendas[[#This Row],[id_produto]], tblProdutos[id_produto], tblProdutos[nome_produto], "Não encontrado")</f>
        <v>Jaqueta</v>
      </c>
      <c r="K133" t="str">
        <f>_xlfn.XLOOKUP(tblVendas[[#This Row],[vendedor]], tblVendedores[vendedor], tblVendedores[regiao], "Não encontrado")</f>
        <v>Sudeste</v>
      </c>
      <c r="L133">
        <f>MATCH(tblVendas[[#This Row],[id_produto]], tblProdutos[id_produto])</f>
        <v>7</v>
      </c>
      <c r="M133" s="2" t="str" cm="1">
        <f t="array" ref="M133">INDEX(tblProdutos[nome_produto], tblVendas[[#This Row],[posicao]])</f>
        <v>Jaqueta</v>
      </c>
      <c r="N133" s="2" t="str">
        <f>INDEX(tblProdutos[nome_produto], MATCH(tblVendas[[#This Row],[id_produto]], tblProdutos[id_produto]))</f>
        <v>Jaqueta</v>
      </c>
    </row>
    <row r="134" spans="1:14" x14ac:dyDescent="0.25">
      <c r="A134">
        <v>133</v>
      </c>
      <c r="B134">
        <v>3</v>
      </c>
      <c r="C134">
        <v>4</v>
      </c>
      <c r="D134" s="1">
        <v>45424</v>
      </c>
      <c r="E134" s="2" t="s">
        <v>9</v>
      </c>
      <c r="F134" t="str">
        <f>IFERROR(VLOOKUP(tblVendas[[#This Row],[id_produto]], tblProdutos[], 2, 0), "Produto não cadastrado")</f>
        <v>Tênis</v>
      </c>
      <c r="G134" s="3">
        <f>IFERROR(VLOOKUP(tblVendas[[#This Row],[id_produto]], tblProdutos[], 4, 0), "Produto não cadastrado")</f>
        <v>186</v>
      </c>
      <c r="H134" s="6" t="str">
        <f>IFERROR(VLOOKUP(tblVendas[[#This Row],[id_produto]], tblProdutos[], 3, 0), "Produto não cadastrado")</f>
        <v>Vestuário</v>
      </c>
      <c r="I134" s="3">
        <f>tblVendas[[#This Row],[quantidade]]*tblVendas[[#This Row],[preco_unitario]]</f>
        <v>744</v>
      </c>
      <c r="J134" t="str">
        <f>_xlfn.XLOOKUP(tblVendas[[#This Row],[id_produto]], tblProdutos[id_produto], tblProdutos[nome_produto], "Não encontrado")</f>
        <v>Tênis</v>
      </c>
      <c r="K134" t="str">
        <f>_xlfn.XLOOKUP(tblVendas[[#This Row],[vendedor]], tblVendedores[vendedor], tblVendedores[regiao], "Não encontrado")</f>
        <v>Sul</v>
      </c>
      <c r="L134">
        <f>MATCH(tblVendas[[#This Row],[id_produto]], tblProdutos[id_produto])</f>
        <v>3</v>
      </c>
      <c r="M134" s="2" t="str" cm="1">
        <f t="array" ref="M134">INDEX(tblProdutos[nome_produto], tblVendas[[#This Row],[posicao]])</f>
        <v>Tênis</v>
      </c>
      <c r="N134" s="2" t="str">
        <f>INDEX(tblProdutos[nome_produto], MATCH(tblVendas[[#This Row],[id_produto]], tblProdutos[id_produto]))</f>
        <v>Tênis</v>
      </c>
    </row>
    <row r="135" spans="1:14" x14ac:dyDescent="0.25">
      <c r="A135">
        <v>134</v>
      </c>
      <c r="B135">
        <v>6</v>
      </c>
      <c r="C135">
        <v>4</v>
      </c>
      <c r="D135" s="1">
        <v>45425</v>
      </c>
      <c r="E135" s="2" t="s">
        <v>5</v>
      </c>
      <c r="F135" t="str">
        <f>IFERROR(VLOOKUP(tblVendas[[#This Row],[id_produto]], tblProdutos[], 2, 0), "Produto não cadastrado")</f>
        <v>Bermuda</v>
      </c>
      <c r="G135" s="3">
        <f>IFERROR(VLOOKUP(tblVendas[[#This Row],[id_produto]], tblProdutos[], 4, 0), "Produto não cadastrado")</f>
        <v>64</v>
      </c>
      <c r="H135" s="6" t="str">
        <f>IFERROR(VLOOKUP(tblVendas[[#This Row],[id_produto]], tblProdutos[], 3, 0), "Produto não cadastrado")</f>
        <v>Calçados</v>
      </c>
      <c r="I135" s="3">
        <f>tblVendas[[#This Row],[quantidade]]*tblVendas[[#This Row],[preco_unitario]]</f>
        <v>256</v>
      </c>
      <c r="J135" t="str">
        <f>_xlfn.XLOOKUP(tblVendas[[#This Row],[id_produto]], tblProdutos[id_produto], tblProdutos[nome_produto], "Não encontrado")</f>
        <v>Bermuda</v>
      </c>
      <c r="K135" t="str">
        <f>_xlfn.XLOOKUP(tblVendas[[#This Row],[vendedor]], tblVendedores[vendedor], tblVendedores[regiao], "Não encontrado")</f>
        <v>Sudeste</v>
      </c>
      <c r="L135">
        <f>MATCH(tblVendas[[#This Row],[id_produto]], tblProdutos[id_produto])</f>
        <v>6</v>
      </c>
      <c r="M135" s="2" t="str" cm="1">
        <f t="array" ref="M135">INDEX(tblProdutos[nome_produto], tblVendas[[#This Row],[posicao]])</f>
        <v>Bermuda</v>
      </c>
      <c r="N135" s="2" t="str">
        <f>INDEX(tblProdutos[nome_produto], MATCH(tblVendas[[#This Row],[id_produto]], tblProdutos[id_produto]))</f>
        <v>Bermuda</v>
      </c>
    </row>
    <row r="136" spans="1:14" x14ac:dyDescent="0.25">
      <c r="A136">
        <v>135</v>
      </c>
      <c r="B136">
        <v>2</v>
      </c>
      <c r="C136">
        <v>1</v>
      </c>
      <c r="D136" s="1">
        <v>45426</v>
      </c>
      <c r="E136" s="2" t="s">
        <v>8</v>
      </c>
      <c r="F136" t="str">
        <f>IFERROR(VLOOKUP(tblVendas[[#This Row],[id_produto]], tblProdutos[], 2, 0), "Produto não cadastrado")</f>
        <v>Calça Jeans</v>
      </c>
      <c r="G136" s="3">
        <f>IFERROR(VLOOKUP(tblVendas[[#This Row],[id_produto]], tblProdutos[], 4, 0), "Produto não cadastrado")</f>
        <v>190</v>
      </c>
      <c r="H136" s="6" t="str">
        <f>IFERROR(VLOOKUP(tblVendas[[#This Row],[id_produto]], tblProdutos[], 3, 0), "Produto não cadastrado")</f>
        <v>Calçados</v>
      </c>
      <c r="I136" s="3">
        <f>tblVendas[[#This Row],[quantidade]]*tblVendas[[#This Row],[preco_unitario]]</f>
        <v>190</v>
      </c>
      <c r="J136" t="str">
        <f>_xlfn.XLOOKUP(tblVendas[[#This Row],[id_produto]], tblProdutos[id_produto], tblProdutos[nome_produto], "Não encontrado")</f>
        <v>Calça Jeans</v>
      </c>
      <c r="K136" t="str">
        <f>_xlfn.XLOOKUP(tblVendas[[#This Row],[vendedor]], tblVendedores[vendedor], tblVendedores[regiao], "Não encontrado")</f>
        <v>Nordeste</v>
      </c>
      <c r="L136">
        <f>MATCH(tblVendas[[#This Row],[id_produto]], tblProdutos[id_produto])</f>
        <v>2</v>
      </c>
      <c r="M136" s="2" t="str" cm="1">
        <f t="array" ref="M136">INDEX(tblProdutos[nome_produto], tblVendas[[#This Row],[posicao]])</f>
        <v>Calça Jeans</v>
      </c>
      <c r="N136" s="2" t="str">
        <f>INDEX(tblProdutos[nome_produto], MATCH(tblVendas[[#This Row],[id_produto]], tblProdutos[id_produto]))</f>
        <v>Calça Jeans</v>
      </c>
    </row>
    <row r="137" spans="1:14" x14ac:dyDescent="0.25">
      <c r="A137">
        <v>136</v>
      </c>
      <c r="B137">
        <v>10</v>
      </c>
      <c r="C137">
        <v>8</v>
      </c>
      <c r="D137" s="1">
        <v>45427</v>
      </c>
      <c r="E137" s="2" t="s">
        <v>5</v>
      </c>
      <c r="F137" t="str">
        <f>IFERROR(VLOOKUP(tblVendas[[#This Row],[id_produto]], tblProdutos[], 2, 0), "Produto não cadastrado")</f>
        <v>Cinto</v>
      </c>
      <c r="G137" s="3">
        <f>IFERROR(VLOOKUP(tblVendas[[#This Row],[id_produto]], tblProdutos[], 4, 0), "Produto não cadastrado")</f>
        <v>76</v>
      </c>
      <c r="H137" s="6" t="str">
        <f>IFERROR(VLOOKUP(tblVendas[[#This Row],[id_produto]], tblProdutos[], 3, 0), "Produto não cadastrado")</f>
        <v>Acessórios</v>
      </c>
      <c r="I137" s="3">
        <f>tblVendas[[#This Row],[quantidade]]*tblVendas[[#This Row],[preco_unitario]]</f>
        <v>608</v>
      </c>
      <c r="J137" t="str">
        <f>_xlfn.XLOOKUP(tblVendas[[#This Row],[id_produto]], tblProdutos[id_produto], tblProdutos[nome_produto], "Não encontrado")</f>
        <v>Cinto</v>
      </c>
      <c r="K137" t="str">
        <f>_xlfn.XLOOKUP(tblVendas[[#This Row],[vendedor]], tblVendedores[vendedor], tblVendedores[regiao], "Não encontrado")</f>
        <v>Sudeste</v>
      </c>
      <c r="L137">
        <f>MATCH(tblVendas[[#This Row],[id_produto]], tblProdutos[id_produto])</f>
        <v>10</v>
      </c>
      <c r="M137" s="2" t="str" cm="1">
        <f t="array" ref="M137">INDEX(tblProdutos[nome_produto], tblVendas[[#This Row],[posicao]])</f>
        <v>Cinto</v>
      </c>
      <c r="N137" s="2" t="str">
        <f>INDEX(tblProdutos[nome_produto], MATCH(tblVendas[[#This Row],[id_produto]], tblProdutos[id_produto]))</f>
        <v>Cinto</v>
      </c>
    </row>
    <row r="138" spans="1:14" x14ac:dyDescent="0.25">
      <c r="A138">
        <v>137</v>
      </c>
      <c r="B138">
        <v>9</v>
      </c>
      <c r="C138">
        <v>3</v>
      </c>
      <c r="D138" s="1">
        <v>45428</v>
      </c>
      <c r="E138" s="2" t="s">
        <v>5</v>
      </c>
      <c r="F138" t="str">
        <f>IFERROR(VLOOKUP(tblVendas[[#This Row],[id_produto]], tblProdutos[], 2, 0), "Produto não cadastrado")</f>
        <v>Meia</v>
      </c>
      <c r="G138" s="3">
        <f>IFERROR(VLOOKUP(tblVendas[[#This Row],[id_produto]], tblProdutos[], 4, 0), "Produto não cadastrado")</f>
        <v>144</v>
      </c>
      <c r="H138" s="6" t="str">
        <f>IFERROR(VLOOKUP(tblVendas[[#This Row],[id_produto]], tblProdutos[], 3, 0), "Produto não cadastrado")</f>
        <v>Vestuário</v>
      </c>
      <c r="I138" s="3">
        <f>tblVendas[[#This Row],[quantidade]]*tblVendas[[#This Row],[preco_unitario]]</f>
        <v>432</v>
      </c>
      <c r="J138" t="str">
        <f>_xlfn.XLOOKUP(tblVendas[[#This Row],[id_produto]], tblProdutos[id_produto], tblProdutos[nome_produto], "Não encontrado")</f>
        <v>Meia</v>
      </c>
      <c r="K138" t="str">
        <f>_xlfn.XLOOKUP(tblVendas[[#This Row],[vendedor]], tblVendedores[vendedor], tblVendedores[regiao], "Não encontrado")</f>
        <v>Sudeste</v>
      </c>
      <c r="L138">
        <f>MATCH(tblVendas[[#This Row],[id_produto]], tblProdutos[id_produto])</f>
        <v>9</v>
      </c>
      <c r="M138" s="2" t="str" cm="1">
        <f t="array" ref="M138">INDEX(tblProdutos[nome_produto], tblVendas[[#This Row],[posicao]])</f>
        <v>Meia</v>
      </c>
      <c r="N138" s="2" t="str">
        <f>INDEX(tblProdutos[nome_produto], MATCH(tblVendas[[#This Row],[id_produto]], tblProdutos[id_produto]))</f>
        <v>Meia</v>
      </c>
    </row>
    <row r="139" spans="1:14" x14ac:dyDescent="0.25">
      <c r="A139">
        <v>138</v>
      </c>
      <c r="B139">
        <v>5</v>
      </c>
      <c r="C139">
        <v>7</v>
      </c>
      <c r="D139" s="1">
        <v>45429</v>
      </c>
      <c r="E139" s="2" t="s">
        <v>6</v>
      </c>
      <c r="F139" t="str">
        <f>IFERROR(VLOOKUP(tblVendas[[#This Row],[id_produto]], tblProdutos[], 2, 0), "Produto não cadastrado")</f>
        <v>Moletom</v>
      </c>
      <c r="G139" s="3">
        <f>IFERROR(VLOOKUP(tblVendas[[#This Row],[id_produto]], tblProdutos[], 4, 0), "Produto não cadastrado")</f>
        <v>75</v>
      </c>
      <c r="H139" s="6" t="str">
        <f>IFERROR(VLOOKUP(tblVendas[[#This Row],[id_produto]], tblProdutos[], 3, 0), "Produto não cadastrado")</f>
        <v>Calçados</v>
      </c>
      <c r="I139" s="3">
        <f>tblVendas[[#This Row],[quantidade]]*tblVendas[[#This Row],[preco_unitario]]</f>
        <v>525</v>
      </c>
      <c r="J139" t="str">
        <f>_xlfn.XLOOKUP(tblVendas[[#This Row],[id_produto]], tblProdutos[id_produto], tblProdutos[nome_produto], "Não encontrado")</f>
        <v>Moletom</v>
      </c>
      <c r="K139" t="str">
        <f>_xlfn.XLOOKUP(tblVendas[[#This Row],[vendedor]], tblVendedores[vendedor], tblVendedores[regiao], "Não encontrado")</f>
        <v>Centro-Oeste</v>
      </c>
      <c r="L139">
        <f>MATCH(tblVendas[[#This Row],[id_produto]], tblProdutos[id_produto])</f>
        <v>5</v>
      </c>
      <c r="M139" s="2" t="str" cm="1">
        <f t="array" ref="M139">INDEX(tblProdutos[nome_produto], tblVendas[[#This Row],[posicao]])</f>
        <v>Moletom</v>
      </c>
      <c r="N139" s="2" t="str">
        <f>INDEX(tblProdutos[nome_produto], MATCH(tblVendas[[#This Row],[id_produto]], tblProdutos[id_produto]))</f>
        <v>Moletom</v>
      </c>
    </row>
    <row r="140" spans="1:14" x14ac:dyDescent="0.25">
      <c r="A140">
        <v>139</v>
      </c>
      <c r="B140">
        <v>6</v>
      </c>
      <c r="C140">
        <v>2</v>
      </c>
      <c r="D140" s="1">
        <v>45430</v>
      </c>
      <c r="E140" s="2" t="s">
        <v>6</v>
      </c>
      <c r="F140" t="str">
        <f>IFERROR(VLOOKUP(tblVendas[[#This Row],[id_produto]], tblProdutos[], 2, 0), "Produto não cadastrado")</f>
        <v>Bermuda</v>
      </c>
      <c r="G140" s="3">
        <f>IFERROR(VLOOKUP(tblVendas[[#This Row],[id_produto]], tblProdutos[], 4, 0), "Produto não cadastrado")</f>
        <v>64</v>
      </c>
      <c r="H140" s="6" t="str">
        <f>IFERROR(VLOOKUP(tblVendas[[#This Row],[id_produto]], tblProdutos[], 3, 0), "Produto não cadastrado")</f>
        <v>Calçados</v>
      </c>
      <c r="I140" s="3">
        <f>tblVendas[[#This Row],[quantidade]]*tblVendas[[#This Row],[preco_unitario]]</f>
        <v>128</v>
      </c>
      <c r="J140" t="str">
        <f>_xlfn.XLOOKUP(tblVendas[[#This Row],[id_produto]], tblProdutos[id_produto], tblProdutos[nome_produto], "Não encontrado")</f>
        <v>Bermuda</v>
      </c>
      <c r="K140" t="str">
        <f>_xlfn.XLOOKUP(tblVendas[[#This Row],[vendedor]], tblVendedores[vendedor], tblVendedores[regiao], "Não encontrado")</f>
        <v>Centro-Oeste</v>
      </c>
      <c r="L140">
        <f>MATCH(tblVendas[[#This Row],[id_produto]], tblProdutos[id_produto])</f>
        <v>6</v>
      </c>
      <c r="M140" s="2" t="str" cm="1">
        <f t="array" ref="M140">INDEX(tblProdutos[nome_produto], tblVendas[[#This Row],[posicao]])</f>
        <v>Bermuda</v>
      </c>
      <c r="N140" s="2" t="str">
        <f>INDEX(tblProdutos[nome_produto], MATCH(tblVendas[[#This Row],[id_produto]], tblProdutos[id_produto]))</f>
        <v>Bermuda</v>
      </c>
    </row>
    <row r="141" spans="1:14" x14ac:dyDescent="0.25">
      <c r="A141">
        <v>140</v>
      </c>
      <c r="B141">
        <v>4</v>
      </c>
      <c r="C141">
        <v>2</v>
      </c>
      <c r="D141" s="1">
        <v>45431</v>
      </c>
      <c r="E141" s="2" t="s">
        <v>6</v>
      </c>
      <c r="F141" t="str">
        <f>IFERROR(VLOOKUP(tblVendas[[#This Row],[id_produto]], tblProdutos[], 2, 0), "Produto não cadastrado")</f>
        <v>Boné</v>
      </c>
      <c r="G141" s="3">
        <f>IFERROR(VLOOKUP(tblVendas[[#This Row],[id_produto]], tblProdutos[], 4, 0), "Produto não cadastrado")</f>
        <v>170</v>
      </c>
      <c r="H141" s="6" t="str">
        <f>IFERROR(VLOOKUP(tblVendas[[#This Row],[id_produto]], tblProdutos[], 3, 0), "Produto não cadastrado")</f>
        <v>Calçados</v>
      </c>
      <c r="I141" s="3">
        <f>tblVendas[[#This Row],[quantidade]]*tblVendas[[#This Row],[preco_unitario]]</f>
        <v>340</v>
      </c>
      <c r="J141" t="str">
        <f>_xlfn.XLOOKUP(tblVendas[[#This Row],[id_produto]], tblProdutos[id_produto], tblProdutos[nome_produto], "Não encontrado")</f>
        <v>Boné</v>
      </c>
      <c r="K141" t="str">
        <f>_xlfn.XLOOKUP(tblVendas[[#This Row],[vendedor]], tblVendedores[vendedor], tblVendedores[regiao], "Não encontrado")</f>
        <v>Centro-Oeste</v>
      </c>
      <c r="L141">
        <f>MATCH(tblVendas[[#This Row],[id_produto]], tblProdutos[id_produto])</f>
        <v>4</v>
      </c>
      <c r="M141" s="2" t="str" cm="1">
        <f t="array" ref="M141">INDEX(tblProdutos[nome_produto], tblVendas[[#This Row],[posicao]])</f>
        <v>Boné</v>
      </c>
      <c r="N141" s="2" t="str">
        <f>INDEX(tblProdutos[nome_produto], MATCH(tblVendas[[#This Row],[id_produto]], tblProdutos[id_produto]))</f>
        <v>Boné</v>
      </c>
    </row>
    <row r="142" spans="1:14" x14ac:dyDescent="0.25">
      <c r="A142">
        <v>141</v>
      </c>
      <c r="B142">
        <v>10</v>
      </c>
      <c r="C142">
        <v>7</v>
      </c>
      <c r="D142" s="1">
        <v>45432</v>
      </c>
      <c r="E142" s="2" t="s">
        <v>8</v>
      </c>
      <c r="F142" t="str">
        <f>IFERROR(VLOOKUP(tblVendas[[#This Row],[id_produto]], tblProdutos[], 2, 0), "Produto não cadastrado")</f>
        <v>Cinto</v>
      </c>
      <c r="G142" s="3">
        <f>IFERROR(VLOOKUP(tblVendas[[#This Row],[id_produto]], tblProdutos[], 4, 0), "Produto não cadastrado")</f>
        <v>76</v>
      </c>
      <c r="H142" s="6" t="str">
        <f>IFERROR(VLOOKUP(tblVendas[[#This Row],[id_produto]], tblProdutos[], 3, 0), "Produto não cadastrado")</f>
        <v>Acessórios</v>
      </c>
      <c r="I142" s="3">
        <f>tblVendas[[#This Row],[quantidade]]*tblVendas[[#This Row],[preco_unitario]]</f>
        <v>532</v>
      </c>
      <c r="J142" t="str">
        <f>_xlfn.XLOOKUP(tblVendas[[#This Row],[id_produto]], tblProdutos[id_produto], tblProdutos[nome_produto], "Não encontrado")</f>
        <v>Cinto</v>
      </c>
      <c r="K142" t="str">
        <f>_xlfn.XLOOKUP(tblVendas[[#This Row],[vendedor]], tblVendedores[vendedor], tblVendedores[regiao], "Não encontrado")</f>
        <v>Nordeste</v>
      </c>
      <c r="L142">
        <f>MATCH(tblVendas[[#This Row],[id_produto]], tblProdutos[id_produto])</f>
        <v>10</v>
      </c>
      <c r="M142" s="2" t="str" cm="1">
        <f t="array" ref="M142">INDEX(tblProdutos[nome_produto], tblVendas[[#This Row],[posicao]])</f>
        <v>Cinto</v>
      </c>
      <c r="N142" s="2" t="str">
        <f>INDEX(tblProdutos[nome_produto], MATCH(tblVendas[[#This Row],[id_produto]], tblProdutos[id_produto]))</f>
        <v>Cinto</v>
      </c>
    </row>
    <row r="143" spans="1:14" x14ac:dyDescent="0.25">
      <c r="A143">
        <v>142</v>
      </c>
      <c r="B143">
        <v>7</v>
      </c>
      <c r="C143">
        <v>6</v>
      </c>
      <c r="D143" s="1">
        <v>45433</v>
      </c>
      <c r="E143" s="2" t="s">
        <v>6</v>
      </c>
      <c r="F143" t="str">
        <f>IFERROR(VLOOKUP(tblVendas[[#This Row],[id_produto]], tblProdutos[], 2, 0), "Produto não cadastrado")</f>
        <v>Jaqueta</v>
      </c>
      <c r="G143" s="3">
        <f>IFERROR(VLOOKUP(tblVendas[[#This Row],[id_produto]], tblProdutos[], 4, 0), "Produto não cadastrado")</f>
        <v>163</v>
      </c>
      <c r="H143" s="6" t="str">
        <f>IFERROR(VLOOKUP(tblVendas[[#This Row],[id_produto]], tblProdutos[], 3, 0), "Produto não cadastrado")</f>
        <v>Calçados</v>
      </c>
      <c r="I143" s="3">
        <f>tblVendas[[#This Row],[quantidade]]*tblVendas[[#This Row],[preco_unitario]]</f>
        <v>978</v>
      </c>
      <c r="J143" t="str">
        <f>_xlfn.XLOOKUP(tblVendas[[#This Row],[id_produto]], tblProdutos[id_produto], tblProdutos[nome_produto], "Não encontrado")</f>
        <v>Jaqueta</v>
      </c>
      <c r="K143" t="str">
        <f>_xlfn.XLOOKUP(tblVendas[[#This Row],[vendedor]], tblVendedores[vendedor], tblVendedores[regiao], "Não encontrado")</f>
        <v>Centro-Oeste</v>
      </c>
      <c r="L143">
        <f>MATCH(tblVendas[[#This Row],[id_produto]], tblProdutos[id_produto])</f>
        <v>7</v>
      </c>
      <c r="M143" s="2" t="str" cm="1">
        <f t="array" ref="M143">INDEX(tblProdutos[nome_produto], tblVendas[[#This Row],[posicao]])</f>
        <v>Jaqueta</v>
      </c>
      <c r="N143" s="2" t="str">
        <f>INDEX(tblProdutos[nome_produto], MATCH(tblVendas[[#This Row],[id_produto]], tblProdutos[id_produto]))</f>
        <v>Jaqueta</v>
      </c>
    </row>
    <row r="144" spans="1:14" x14ac:dyDescent="0.25">
      <c r="A144">
        <v>143</v>
      </c>
      <c r="B144">
        <v>9</v>
      </c>
      <c r="C144">
        <v>3</v>
      </c>
      <c r="D144" s="1">
        <v>45434</v>
      </c>
      <c r="E144" s="2" t="s">
        <v>9</v>
      </c>
      <c r="F144" t="str">
        <f>IFERROR(VLOOKUP(tblVendas[[#This Row],[id_produto]], tblProdutos[], 2, 0), "Produto não cadastrado")</f>
        <v>Meia</v>
      </c>
      <c r="G144" s="3">
        <f>IFERROR(VLOOKUP(tblVendas[[#This Row],[id_produto]], tblProdutos[], 4, 0), "Produto não cadastrado")</f>
        <v>144</v>
      </c>
      <c r="H144" s="6" t="str">
        <f>IFERROR(VLOOKUP(tblVendas[[#This Row],[id_produto]], tblProdutos[], 3, 0), "Produto não cadastrado")</f>
        <v>Vestuário</v>
      </c>
      <c r="I144" s="3">
        <f>tblVendas[[#This Row],[quantidade]]*tblVendas[[#This Row],[preco_unitario]]</f>
        <v>432</v>
      </c>
      <c r="J144" t="str">
        <f>_xlfn.XLOOKUP(tblVendas[[#This Row],[id_produto]], tblProdutos[id_produto], tblProdutos[nome_produto], "Não encontrado")</f>
        <v>Meia</v>
      </c>
      <c r="K144" t="str">
        <f>_xlfn.XLOOKUP(tblVendas[[#This Row],[vendedor]], tblVendedores[vendedor], tblVendedores[regiao], "Não encontrado")</f>
        <v>Sul</v>
      </c>
      <c r="L144">
        <f>MATCH(tblVendas[[#This Row],[id_produto]], tblProdutos[id_produto])</f>
        <v>9</v>
      </c>
      <c r="M144" s="2" t="str" cm="1">
        <f t="array" ref="M144">INDEX(tblProdutos[nome_produto], tblVendas[[#This Row],[posicao]])</f>
        <v>Meia</v>
      </c>
      <c r="N144" s="2" t="str">
        <f>INDEX(tblProdutos[nome_produto], MATCH(tblVendas[[#This Row],[id_produto]], tblProdutos[id_produto]))</f>
        <v>Meia</v>
      </c>
    </row>
    <row r="145" spans="1:14" x14ac:dyDescent="0.25">
      <c r="A145">
        <v>144</v>
      </c>
      <c r="B145">
        <v>7</v>
      </c>
      <c r="C145">
        <v>9</v>
      </c>
      <c r="D145" s="1">
        <v>45435</v>
      </c>
      <c r="E145" s="2" t="s">
        <v>7</v>
      </c>
      <c r="F145" t="str">
        <f>IFERROR(VLOOKUP(tblVendas[[#This Row],[id_produto]], tblProdutos[], 2, 0), "Produto não cadastrado")</f>
        <v>Jaqueta</v>
      </c>
      <c r="G145" s="3">
        <f>IFERROR(VLOOKUP(tblVendas[[#This Row],[id_produto]], tblProdutos[], 4, 0), "Produto não cadastrado")</f>
        <v>163</v>
      </c>
      <c r="H145" s="6" t="str">
        <f>IFERROR(VLOOKUP(tblVendas[[#This Row],[id_produto]], tblProdutos[], 3, 0), "Produto não cadastrado")</f>
        <v>Calçados</v>
      </c>
      <c r="I145" s="3">
        <f>tblVendas[[#This Row],[quantidade]]*tblVendas[[#This Row],[preco_unitario]]</f>
        <v>1467</v>
      </c>
      <c r="J145" t="str">
        <f>_xlfn.XLOOKUP(tblVendas[[#This Row],[id_produto]], tblProdutos[id_produto], tblProdutos[nome_produto], "Não encontrado")</f>
        <v>Jaqueta</v>
      </c>
      <c r="K145" t="str">
        <f>_xlfn.XLOOKUP(tblVendas[[#This Row],[vendedor]], tblVendedores[vendedor], tblVendedores[regiao], "Não encontrado")</f>
        <v>Norte</v>
      </c>
      <c r="L145">
        <f>MATCH(tblVendas[[#This Row],[id_produto]], tblProdutos[id_produto])</f>
        <v>7</v>
      </c>
      <c r="M145" s="2" t="str" cm="1">
        <f t="array" ref="M145">INDEX(tblProdutos[nome_produto], tblVendas[[#This Row],[posicao]])</f>
        <v>Jaqueta</v>
      </c>
      <c r="N145" s="2" t="str">
        <f>INDEX(tblProdutos[nome_produto], MATCH(tblVendas[[#This Row],[id_produto]], tblProdutos[id_produto]))</f>
        <v>Jaqueta</v>
      </c>
    </row>
    <row r="146" spans="1:14" x14ac:dyDescent="0.25">
      <c r="A146">
        <v>145</v>
      </c>
      <c r="B146">
        <v>1</v>
      </c>
      <c r="C146">
        <v>6</v>
      </c>
      <c r="D146" s="1">
        <v>45436</v>
      </c>
      <c r="E146" s="2" t="s">
        <v>9</v>
      </c>
      <c r="F146" t="str">
        <f>IFERROR(VLOOKUP(tblVendas[[#This Row],[id_produto]], tblProdutos[], 2, 0), "Produto não cadastrado")</f>
        <v>Camiseta</v>
      </c>
      <c r="G146" s="3">
        <f>IFERROR(VLOOKUP(tblVendas[[#This Row],[id_produto]], tblProdutos[], 4, 0), "Produto não cadastrado")</f>
        <v>174</v>
      </c>
      <c r="H146" s="6" t="str">
        <f>IFERROR(VLOOKUP(tblVendas[[#This Row],[id_produto]], tblProdutos[], 3, 0), "Produto não cadastrado")</f>
        <v>Calçados</v>
      </c>
      <c r="I146" s="3">
        <f>tblVendas[[#This Row],[quantidade]]*tblVendas[[#This Row],[preco_unitario]]</f>
        <v>1044</v>
      </c>
      <c r="J146" t="str">
        <f>_xlfn.XLOOKUP(tblVendas[[#This Row],[id_produto]], tblProdutos[id_produto], tblProdutos[nome_produto], "Não encontrado")</f>
        <v>Camiseta</v>
      </c>
      <c r="K146" t="str">
        <f>_xlfn.XLOOKUP(tblVendas[[#This Row],[vendedor]], tblVendedores[vendedor], tblVendedores[regiao], "Não encontrado")</f>
        <v>Sul</v>
      </c>
      <c r="L146">
        <f>MATCH(tblVendas[[#This Row],[id_produto]], tblProdutos[id_produto])</f>
        <v>1</v>
      </c>
      <c r="M146" s="2" t="str" cm="1">
        <f t="array" ref="M146">INDEX(tblProdutos[nome_produto], tblVendas[[#This Row],[posicao]])</f>
        <v>Camiseta</v>
      </c>
      <c r="N146" s="2" t="str">
        <f>INDEX(tblProdutos[nome_produto], MATCH(tblVendas[[#This Row],[id_produto]], tblProdutos[id_produto]))</f>
        <v>Camiseta</v>
      </c>
    </row>
    <row r="147" spans="1:14" x14ac:dyDescent="0.25">
      <c r="A147">
        <v>146</v>
      </c>
      <c r="B147">
        <v>1</v>
      </c>
      <c r="C147">
        <v>6</v>
      </c>
      <c r="D147" s="1">
        <v>45437</v>
      </c>
      <c r="E147" s="2" t="s">
        <v>9</v>
      </c>
      <c r="F147" t="str">
        <f>IFERROR(VLOOKUP(tblVendas[[#This Row],[id_produto]], tblProdutos[], 2, 0), "Produto não cadastrado")</f>
        <v>Camiseta</v>
      </c>
      <c r="G147" s="3">
        <f>IFERROR(VLOOKUP(tblVendas[[#This Row],[id_produto]], tblProdutos[], 4, 0), "Produto não cadastrado")</f>
        <v>174</v>
      </c>
      <c r="H147" s="6" t="str">
        <f>IFERROR(VLOOKUP(tblVendas[[#This Row],[id_produto]], tblProdutos[], 3, 0), "Produto não cadastrado")</f>
        <v>Calçados</v>
      </c>
      <c r="I147" s="3">
        <f>tblVendas[[#This Row],[quantidade]]*tblVendas[[#This Row],[preco_unitario]]</f>
        <v>1044</v>
      </c>
      <c r="J147" t="str">
        <f>_xlfn.XLOOKUP(tblVendas[[#This Row],[id_produto]], tblProdutos[id_produto], tblProdutos[nome_produto], "Não encontrado")</f>
        <v>Camiseta</v>
      </c>
      <c r="K147" t="str">
        <f>_xlfn.XLOOKUP(tblVendas[[#This Row],[vendedor]], tblVendedores[vendedor], tblVendedores[regiao], "Não encontrado")</f>
        <v>Sul</v>
      </c>
      <c r="L147">
        <f>MATCH(tblVendas[[#This Row],[id_produto]], tblProdutos[id_produto])</f>
        <v>1</v>
      </c>
      <c r="M147" s="2" t="str" cm="1">
        <f t="array" ref="M147">INDEX(tblProdutos[nome_produto], tblVendas[[#This Row],[posicao]])</f>
        <v>Camiseta</v>
      </c>
      <c r="N147" s="2" t="str">
        <f>INDEX(tblProdutos[nome_produto], MATCH(tblVendas[[#This Row],[id_produto]], tblProdutos[id_produto]))</f>
        <v>Camiseta</v>
      </c>
    </row>
    <row r="148" spans="1:14" x14ac:dyDescent="0.25">
      <c r="A148">
        <v>147</v>
      </c>
      <c r="B148">
        <v>9</v>
      </c>
      <c r="C148">
        <v>1</v>
      </c>
      <c r="D148" s="1">
        <v>45438</v>
      </c>
      <c r="E148" s="2" t="s">
        <v>6</v>
      </c>
      <c r="F148" t="str">
        <f>IFERROR(VLOOKUP(tblVendas[[#This Row],[id_produto]], tblProdutos[], 2, 0), "Produto não cadastrado")</f>
        <v>Meia</v>
      </c>
      <c r="G148" s="3">
        <f>IFERROR(VLOOKUP(tblVendas[[#This Row],[id_produto]], tblProdutos[], 4, 0), "Produto não cadastrado")</f>
        <v>144</v>
      </c>
      <c r="H148" s="6" t="str">
        <f>IFERROR(VLOOKUP(tblVendas[[#This Row],[id_produto]], tblProdutos[], 3, 0), "Produto não cadastrado")</f>
        <v>Vestuário</v>
      </c>
      <c r="I148" s="3">
        <f>tblVendas[[#This Row],[quantidade]]*tblVendas[[#This Row],[preco_unitario]]</f>
        <v>144</v>
      </c>
      <c r="J148" t="str">
        <f>_xlfn.XLOOKUP(tblVendas[[#This Row],[id_produto]], tblProdutos[id_produto], tblProdutos[nome_produto], "Não encontrado")</f>
        <v>Meia</v>
      </c>
      <c r="K148" t="str">
        <f>_xlfn.XLOOKUP(tblVendas[[#This Row],[vendedor]], tblVendedores[vendedor], tblVendedores[regiao], "Não encontrado")</f>
        <v>Centro-Oeste</v>
      </c>
      <c r="L148">
        <f>MATCH(tblVendas[[#This Row],[id_produto]], tblProdutos[id_produto])</f>
        <v>9</v>
      </c>
      <c r="M148" s="2" t="str" cm="1">
        <f t="array" ref="M148">INDEX(tblProdutos[nome_produto], tblVendas[[#This Row],[posicao]])</f>
        <v>Meia</v>
      </c>
      <c r="N148" s="2" t="str">
        <f>INDEX(tblProdutos[nome_produto], MATCH(tblVendas[[#This Row],[id_produto]], tblProdutos[id_produto]))</f>
        <v>Meia</v>
      </c>
    </row>
    <row r="149" spans="1:14" x14ac:dyDescent="0.25">
      <c r="A149">
        <v>148</v>
      </c>
      <c r="B149">
        <v>9</v>
      </c>
      <c r="C149">
        <v>4</v>
      </c>
      <c r="D149" s="1">
        <v>45439</v>
      </c>
      <c r="E149" s="2" t="s">
        <v>7</v>
      </c>
      <c r="F149" t="str">
        <f>IFERROR(VLOOKUP(tblVendas[[#This Row],[id_produto]], tblProdutos[], 2, 0), "Produto não cadastrado")</f>
        <v>Meia</v>
      </c>
      <c r="G149" s="3">
        <f>IFERROR(VLOOKUP(tblVendas[[#This Row],[id_produto]], tblProdutos[], 4, 0), "Produto não cadastrado")</f>
        <v>144</v>
      </c>
      <c r="H149" s="6" t="str">
        <f>IFERROR(VLOOKUP(tblVendas[[#This Row],[id_produto]], tblProdutos[], 3, 0), "Produto não cadastrado")</f>
        <v>Vestuário</v>
      </c>
      <c r="I149" s="3">
        <f>tblVendas[[#This Row],[quantidade]]*tblVendas[[#This Row],[preco_unitario]]</f>
        <v>576</v>
      </c>
      <c r="J149" t="str">
        <f>_xlfn.XLOOKUP(tblVendas[[#This Row],[id_produto]], tblProdutos[id_produto], tblProdutos[nome_produto], "Não encontrado")</f>
        <v>Meia</v>
      </c>
      <c r="K149" t="str">
        <f>_xlfn.XLOOKUP(tblVendas[[#This Row],[vendedor]], tblVendedores[vendedor], tblVendedores[regiao], "Não encontrado")</f>
        <v>Norte</v>
      </c>
      <c r="L149">
        <f>MATCH(tblVendas[[#This Row],[id_produto]], tblProdutos[id_produto])</f>
        <v>9</v>
      </c>
      <c r="M149" s="2" t="str" cm="1">
        <f t="array" ref="M149">INDEX(tblProdutos[nome_produto], tblVendas[[#This Row],[posicao]])</f>
        <v>Meia</v>
      </c>
      <c r="N149" s="2" t="str">
        <f>INDEX(tblProdutos[nome_produto], MATCH(tblVendas[[#This Row],[id_produto]], tblProdutos[id_produto]))</f>
        <v>Meia</v>
      </c>
    </row>
    <row r="150" spans="1:14" x14ac:dyDescent="0.25">
      <c r="A150">
        <v>149</v>
      </c>
      <c r="B150">
        <v>4</v>
      </c>
      <c r="C150">
        <v>6</v>
      </c>
      <c r="D150" s="1">
        <v>45440</v>
      </c>
      <c r="E150" s="2" t="s">
        <v>7</v>
      </c>
      <c r="F150" t="str">
        <f>IFERROR(VLOOKUP(tblVendas[[#This Row],[id_produto]], tblProdutos[], 2, 0), "Produto não cadastrado")</f>
        <v>Boné</v>
      </c>
      <c r="G150" s="3">
        <f>IFERROR(VLOOKUP(tblVendas[[#This Row],[id_produto]], tblProdutos[], 4, 0), "Produto não cadastrado")</f>
        <v>170</v>
      </c>
      <c r="H150" s="6" t="str">
        <f>IFERROR(VLOOKUP(tblVendas[[#This Row],[id_produto]], tblProdutos[], 3, 0), "Produto não cadastrado")</f>
        <v>Calçados</v>
      </c>
      <c r="I150" s="3">
        <f>tblVendas[[#This Row],[quantidade]]*tblVendas[[#This Row],[preco_unitario]]</f>
        <v>1020</v>
      </c>
      <c r="J150" t="str">
        <f>_xlfn.XLOOKUP(tblVendas[[#This Row],[id_produto]], tblProdutos[id_produto], tblProdutos[nome_produto], "Não encontrado")</f>
        <v>Boné</v>
      </c>
      <c r="K150" t="str">
        <f>_xlfn.XLOOKUP(tblVendas[[#This Row],[vendedor]], tblVendedores[vendedor], tblVendedores[regiao], "Não encontrado")</f>
        <v>Norte</v>
      </c>
      <c r="L150">
        <f>MATCH(tblVendas[[#This Row],[id_produto]], tblProdutos[id_produto])</f>
        <v>4</v>
      </c>
      <c r="M150" s="2" t="str" cm="1">
        <f t="array" ref="M150">INDEX(tblProdutos[nome_produto], tblVendas[[#This Row],[posicao]])</f>
        <v>Boné</v>
      </c>
      <c r="N150" s="2" t="str">
        <f>INDEX(tblProdutos[nome_produto], MATCH(tblVendas[[#This Row],[id_produto]], tblProdutos[id_produto]))</f>
        <v>Boné</v>
      </c>
    </row>
    <row r="151" spans="1:14" x14ac:dyDescent="0.25">
      <c r="A151">
        <v>150</v>
      </c>
      <c r="B151">
        <v>9</v>
      </c>
      <c r="C151">
        <v>6</v>
      </c>
      <c r="D151" s="1">
        <v>45441</v>
      </c>
      <c r="E151" s="2" t="s">
        <v>7</v>
      </c>
      <c r="F151" t="str">
        <f>IFERROR(VLOOKUP(tblVendas[[#This Row],[id_produto]], tblProdutos[], 2, 0), "Produto não cadastrado")</f>
        <v>Meia</v>
      </c>
      <c r="G151" s="3">
        <f>IFERROR(VLOOKUP(tblVendas[[#This Row],[id_produto]], tblProdutos[], 4, 0), "Produto não cadastrado")</f>
        <v>144</v>
      </c>
      <c r="H151" s="6" t="str">
        <f>IFERROR(VLOOKUP(tblVendas[[#This Row],[id_produto]], tblProdutos[], 3, 0), "Produto não cadastrado")</f>
        <v>Vestuário</v>
      </c>
      <c r="I151" s="3">
        <f>tblVendas[[#This Row],[quantidade]]*tblVendas[[#This Row],[preco_unitario]]</f>
        <v>864</v>
      </c>
      <c r="J151" t="str">
        <f>_xlfn.XLOOKUP(tblVendas[[#This Row],[id_produto]], tblProdutos[id_produto], tblProdutos[nome_produto], "Não encontrado")</f>
        <v>Meia</v>
      </c>
      <c r="K151" t="str">
        <f>_xlfn.XLOOKUP(tblVendas[[#This Row],[vendedor]], tblVendedores[vendedor], tblVendedores[regiao], "Não encontrado")</f>
        <v>Norte</v>
      </c>
      <c r="L151">
        <f>MATCH(tblVendas[[#This Row],[id_produto]], tblProdutos[id_produto])</f>
        <v>9</v>
      </c>
      <c r="M151" s="2" t="str" cm="1">
        <f t="array" ref="M151">INDEX(tblProdutos[nome_produto], tblVendas[[#This Row],[posicao]])</f>
        <v>Meia</v>
      </c>
      <c r="N151" s="2" t="str">
        <f>INDEX(tblProdutos[nome_produto], MATCH(tblVendas[[#This Row],[id_produto]], tblProdutos[id_produto]))</f>
        <v>Meia</v>
      </c>
    </row>
    <row r="152" spans="1:14" x14ac:dyDescent="0.25">
      <c r="A152">
        <v>151</v>
      </c>
      <c r="B152">
        <v>3</v>
      </c>
      <c r="C152">
        <v>5</v>
      </c>
      <c r="D152" s="1">
        <v>45442</v>
      </c>
      <c r="E152" s="2" t="s">
        <v>8</v>
      </c>
      <c r="F152" t="str">
        <f>IFERROR(VLOOKUP(tblVendas[[#This Row],[id_produto]], tblProdutos[], 2, 0), "Produto não cadastrado")</f>
        <v>Tênis</v>
      </c>
      <c r="G152" s="3">
        <f>IFERROR(VLOOKUP(tblVendas[[#This Row],[id_produto]], tblProdutos[], 4, 0), "Produto não cadastrado")</f>
        <v>186</v>
      </c>
      <c r="H152" s="6" t="str">
        <f>IFERROR(VLOOKUP(tblVendas[[#This Row],[id_produto]], tblProdutos[], 3, 0), "Produto não cadastrado")</f>
        <v>Vestuário</v>
      </c>
      <c r="I152" s="3">
        <f>tblVendas[[#This Row],[quantidade]]*tblVendas[[#This Row],[preco_unitario]]</f>
        <v>930</v>
      </c>
      <c r="J152" t="str">
        <f>_xlfn.XLOOKUP(tblVendas[[#This Row],[id_produto]], tblProdutos[id_produto], tblProdutos[nome_produto], "Não encontrado")</f>
        <v>Tênis</v>
      </c>
      <c r="K152" t="str">
        <f>_xlfn.XLOOKUP(tblVendas[[#This Row],[vendedor]], tblVendedores[vendedor], tblVendedores[regiao], "Não encontrado")</f>
        <v>Nordeste</v>
      </c>
      <c r="L152">
        <f>MATCH(tblVendas[[#This Row],[id_produto]], tblProdutos[id_produto])</f>
        <v>3</v>
      </c>
      <c r="M152" s="2" t="str" cm="1">
        <f t="array" ref="M152">INDEX(tblProdutos[nome_produto], tblVendas[[#This Row],[posicao]])</f>
        <v>Tênis</v>
      </c>
      <c r="N152" s="2" t="str">
        <f>INDEX(tblProdutos[nome_produto], MATCH(tblVendas[[#This Row],[id_produto]], tblProdutos[id_produto]))</f>
        <v>Tênis</v>
      </c>
    </row>
    <row r="153" spans="1:14" x14ac:dyDescent="0.25">
      <c r="A153">
        <v>152</v>
      </c>
      <c r="B153">
        <v>7</v>
      </c>
      <c r="C153">
        <v>1</v>
      </c>
      <c r="D153" s="1">
        <v>45443</v>
      </c>
      <c r="E153" s="2" t="s">
        <v>6</v>
      </c>
      <c r="F153" t="str">
        <f>IFERROR(VLOOKUP(tblVendas[[#This Row],[id_produto]], tblProdutos[], 2, 0), "Produto não cadastrado")</f>
        <v>Jaqueta</v>
      </c>
      <c r="G153" s="3">
        <f>IFERROR(VLOOKUP(tblVendas[[#This Row],[id_produto]], tblProdutos[], 4, 0), "Produto não cadastrado")</f>
        <v>163</v>
      </c>
      <c r="H153" s="6" t="str">
        <f>IFERROR(VLOOKUP(tblVendas[[#This Row],[id_produto]], tblProdutos[], 3, 0), "Produto não cadastrado")</f>
        <v>Calçados</v>
      </c>
      <c r="I153" s="3">
        <f>tblVendas[[#This Row],[quantidade]]*tblVendas[[#This Row],[preco_unitario]]</f>
        <v>163</v>
      </c>
      <c r="J153" t="str">
        <f>_xlfn.XLOOKUP(tblVendas[[#This Row],[id_produto]], tblProdutos[id_produto], tblProdutos[nome_produto], "Não encontrado")</f>
        <v>Jaqueta</v>
      </c>
      <c r="K153" t="str">
        <f>_xlfn.XLOOKUP(tblVendas[[#This Row],[vendedor]], tblVendedores[vendedor], tblVendedores[regiao], "Não encontrado")</f>
        <v>Centro-Oeste</v>
      </c>
      <c r="L153">
        <f>MATCH(tblVendas[[#This Row],[id_produto]], tblProdutos[id_produto])</f>
        <v>7</v>
      </c>
      <c r="M153" s="2" t="str" cm="1">
        <f t="array" ref="M153">INDEX(tblProdutos[nome_produto], tblVendas[[#This Row],[posicao]])</f>
        <v>Jaqueta</v>
      </c>
      <c r="N153" s="2" t="str">
        <f>INDEX(tblProdutos[nome_produto], MATCH(tblVendas[[#This Row],[id_produto]], tblProdutos[id_produto]))</f>
        <v>Jaqueta</v>
      </c>
    </row>
    <row r="154" spans="1:14" x14ac:dyDescent="0.25">
      <c r="A154">
        <v>153</v>
      </c>
      <c r="B154">
        <v>6</v>
      </c>
      <c r="C154">
        <v>8</v>
      </c>
      <c r="D154" s="1">
        <v>45444</v>
      </c>
      <c r="E154" s="2" t="s">
        <v>7</v>
      </c>
      <c r="F154" t="str">
        <f>IFERROR(VLOOKUP(tblVendas[[#This Row],[id_produto]], tblProdutos[], 2, 0), "Produto não cadastrado")</f>
        <v>Bermuda</v>
      </c>
      <c r="G154" s="3">
        <f>IFERROR(VLOOKUP(tblVendas[[#This Row],[id_produto]], tblProdutos[], 4, 0), "Produto não cadastrado")</f>
        <v>64</v>
      </c>
      <c r="H154" s="6" t="str">
        <f>IFERROR(VLOOKUP(tblVendas[[#This Row],[id_produto]], tblProdutos[], 3, 0), "Produto não cadastrado")</f>
        <v>Calçados</v>
      </c>
      <c r="I154" s="3">
        <f>tblVendas[[#This Row],[quantidade]]*tblVendas[[#This Row],[preco_unitario]]</f>
        <v>512</v>
      </c>
      <c r="J154" t="str">
        <f>_xlfn.XLOOKUP(tblVendas[[#This Row],[id_produto]], tblProdutos[id_produto], tblProdutos[nome_produto], "Não encontrado")</f>
        <v>Bermuda</v>
      </c>
      <c r="K154" t="str">
        <f>_xlfn.XLOOKUP(tblVendas[[#This Row],[vendedor]], tblVendedores[vendedor], tblVendedores[regiao], "Não encontrado")</f>
        <v>Norte</v>
      </c>
      <c r="L154">
        <f>MATCH(tblVendas[[#This Row],[id_produto]], tblProdutos[id_produto])</f>
        <v>6</v>
      </c>
      <c r="M154" s="2" t="str" cm="1">
        <f t="array" ref="M154">INDEX(tblProdutos[nome_produto], tblVendas[[#This Row],[posicao]])</f>
        <v>Bermuda</v>
      </c>
      <c r="N154" s="2" t="str">
        <f>INDEX(tblProdutos[nome_produto], MATCH(tblVendas[[#This Row],[id_produto]], tblProdutos[id_produto]))</f>
        <v>Bermuda</v>
      </c>
    </row>
    <row r="155" spans="1:14" x14ac:dyDescent="0.25">
      <c r="A155">
        <v>154</v>
      </c>
      <c r="B155">
        <v>8</v>
      </c>
      <c r="C155">
        <v>5</v>
      </c>
      <c r="D155" s="1">
        <v>45445</v>
      </c>
      <c r="E155" s="2" t="s">
        <v>8</v>
      </c>
      <c r="F155" t="str">
        <f>IFERROR(VLOOKUP(tblVendas[[#This Row],[id_produto]], tblProdutos[], 2, 0), "Produto não cadastrado")</f>
        <v>Regata</v>
      </c>
      <c r="G155" s="3">
        <f>IFERROR(VLOOKUP(tblVendas[[#This Row],[id_produto]], tblProdutos[], 4, 0), "Produto não cadastrado")</f>
        <v>111</v>
      </c>
      <c r="H155" s="6" t="str">
        <f>IFERROR(VLOOKUP(tblVendas[[#This Row],[id_produto]], tblProdutos[], 3, 0), "Produto não cadastrado")</f>
        <v>Vestuário</v>
      </c>
      <c r="I155" s="3">
        <f>tblVendas[[#This Row],[quantidade]]*tblVendas[[#This Row],[preco_unitario]]</f>
        <v>555</v>
      </c>
      <c r="J155" t="str">
        <f>_xlfn.XLOOKUP(tblVendas[[#This Row],[id_produto]], tblProdutos[id_produto], tblProdutos[nome_produto], "Não encontrado")</f>
        <v>Regata</v>
      </c>
      <c r="K155" t="str">
        <f>_xlfn.XLOOKUP(tblVendas[[#This Row],[vendedor]], tblVendedores[vendedor], tblVendedores[regiao], "Não encontrado")</f>
        <v>Nordeste</v>
      </c>
      <c r="L155">
        <f>MATCH(tblVendas[[#This Row],[id_produto]], tblProdutos[id_produto])</f>
        <v>8</v>
      </c>
      <c r="M155" s="2" t="str" cm="1">
        <f t="array" ref="M155">INDEX(tblProdutos[nome_produto], tblVendas[[#This Row],[posicao]])</f>
        <v>Regata</v>
      </c>
      <c r="N155" s="2" t="str">
        <f>INDEX(tblProdutos[nome_produto], MATCH(tblVendas[[#This Row],[id_produto]], tblProdutos[id_produto]))</f>
        <v>Regata</v>
      </c>
    </row>
    <row r="156" spans="1:14" x14ac:dyDescent="0.25">
      <c r="A156">
        <v>155</v>
      </c>
      <c r="B156">
        <v>9</v>
      </c>
      <c r="C156">
        <v>5</v>
      </c>
      <c r="D156" s="1">
        <v>45446</v>
      </c>
      <c r="E156" s="2" t="s">
        <v>5</v>
      </c>
      <c r="F156" t="str">
        <f>IFERROR(VLOOKUP(tblVendas[[#This Row],[id_produto]], tblProdutos[], 2, 0), "Produto não cadastrado")</f>
        <v>Meia</v>
      </c>
      <c r="G156" s="3">
        <f>IFERROR(VLOOKUP(tblVendas[[#This Row],[id_produto]], tblProdutos[], 4, 0), "Produto não cadastrado")</f>
        <v>144</v>
      </c>
      <c r="H156" s="6" t="str">
        <f>IFERROR(VLOOKUP(tblVendas[[#This Row],[id_produto]], tblProdutos[], 3, 0), "Produto não cadastrado")</f>
        <v>Vestuário</v>
      </c>
      <c r="I156" s="3">
        <f>tblVendas[[#This Row],[quantidade]]*tblVendas[[#This Row],[preco_unitario]]</f>
        <v>720</v>
      </c>
      <c r="J156" t="str">
        <f>_xlfn.XLOOKUP(tblVendas[[#This Row],[id_produto]], tblProdutos[id_produto], tblProdutos[nome_produto], "Não encontrado")</f>
        <v>Meia</v>
      </c>
      <c r="K156" t="str">
        <f>_xlfn.XLOOKUP(tblVendas[[#This Row],[vendedor]], tblVendedores[vendedor], tblVendedores[regiao], "Não encontrado")</f>
        <v>Sudeste</v>
      </c>
      <c r="L156">
        <f>MATCH(tblVendas[[#This Row],[id_produto]], tblProdutos[id_produto])</f>
        <v>9</v>
      </c>
      <c r="M156" s="2" t="str" cm="1">
        <f t="array" ref="M156">INDEX(tblProdutos[nome_produto], tblVendas[[#This Row],[posicao]])</f>
        <v>Meia</v>
      </c>
      <c r="N156" s="2" t="str">
        <f>INDEX(tblProdutos[nome_produto], MATCH(tblVendas[[#This Row],[id_produto]], tblProdutos[id_produto]))</f>
        <v>Meia</v>
      </c>
    </row>
    <row r="157" spans="1:14" x14ac:dyDescent="0.25">
      <c r="A157">
        <v>156</v>
      </c>
      <c r="B157">
        <v>5</v>
      </c>
      <c r="C157">
        <v>7</v>
      </c>
      <c r="D157" s="1">
        <v>45447</v>
      </c>
      <c r="E157" s="2" t="s">
        <v>5</v>
      </c>
      <c r="F157" t="str">
        <f>IFERROR(VLOOKUP(tblVendas[[#This Row],[id_produto]], tblProdutos[], 2, 0), "Produto não cadastrado")</f>
        <v>Moletom</v>
      </c>
      <c r="G157" s="3">
        <f>IFERROR(VLOOKUP(tblVendas[[#This Row],[id_produto]], tblProdutos[], 4, 0), "Produto não cadastrado")</f>
        <v>75</v>
      </c>
      <c r="H157" s="6" t="str">
        <f>IFERROR(VLOOKUP(tblVendas[[#This Row],[id_produto]], tblProdutos[], 3, 0), "Produto não cadastrado")</f>
        <v>Calçados</v>
      </c>
      <c r="I157" s="3">
        <f>tblVendas[[#This Row],[quantidade]]*tblVendas[[#This Row],[preco_unitario]]</f>
        <v>525</v>
      </c>
      <c r="J157" t="str">
        <f>_xlfn.XLOOKUP(tblVendas[[#This Row],[id_produto]], tblProdutos[id_produto], tblProdutos[nome_produto], "Não encontrado")</f>
        <v>Moletom</v>
      </c>
      <c r="K157" t="str">
        <f>_xlfn.XLOOKUP(tblVendas[[#This Row],[vendedor]], tblVendedores[vendedor], tblVendedores[regiao], "Não encontrado")</f>
        <v>Sudeste</v>
      </c>
      <c r="L157">
        <f>MATCH(tblVendas[[#This Row],[id_produto]], tblProdutos[id_produto])</f>
        <v>5</v>
      </c>
      <c r="M157" s="2" t="str" cm="1">
        <f t="array" ref="M157">INDEX(tblProdutos[nome_produto], tblVendas[[#This Row],[posicao]])</f>
        <v>Moletom</v>
      </c>
      <c r="N157" s="2" t="str">
        <f>INDEX(tblProdutos[nome_produto], MATCH(tblVendas[[#This Row],[id_produto]], tblProdutos[id_produto]))</f>
        <v>Moletom</v>
      </c>
    </row>
    <row r="158" spans="1:14" x14ac:dyDescent="0.25">
      <c r="A158">
        <v>157</v>
      </c>
      <c r="B158">
        <v>1</v>
      </c>
      <c r="C158">
        <v>4</v>
      </c>
      <c r="D158" s="1">
        <v>45448</v>
      </c>
      <c r="E158" s="2" t="s">
        <v>8</v>
      </c>
      <c r="F158" t="str">
        <f>IFERROR(VLOOKUP(tblVendas[[#This Row],[id_produto]], tblProdutos[], 2, 0), "Produto não cadastrado")</f>
        <v>Camiseta</v>
      </c>
      <c r="G158" s="3">
        <f>IFERROR(VLOOKUP(tblVendas[[#This Row],[id_produto]], tblProdutos[], 4, 0), "Produto não cadastrado")</f>
        <v>174</v>
      </c>
      <c r="H158" s="6" t="str">
        <f>IFERROR(VLOOKUP(tblVendas[[#This Row],[id_produto]], tblProdutos[], 3, 0), "Produto não cadastrado")</f>
        <v>Calçados</v>
      </c>
      <c r="I158" s="3">
        <f>tblVendas[[#This Row],[quantidade]]*tblVendas[[#This Row],[preco_unitario]]</f>
        <v>696</v>
      </c>
      <c r="J158" t="str">
        <f>_xlfn.XLOOKUP(tblVendas[[#This Row],[id_produto]], tblProdutos[id_produto], tblProdutos[nome_produto], "Não encontrado")</f>
        <v>Camiseta</v>
      </c>
      <c r="K158" t="str">
        <f>_xlfn.XLOOKUP(tblVendas[[#This Row],[vendedor]], tblVendedores[vendedor], tblVendedores[regiao], "Não encontrado")</f>
        <v>Nordeste</v>
      </c>
      <c r="L158">
        <f>MATCH(tblVendas[[#This Row],[id_produto]], tblProdutos[id_produto])</f>
        <v>1</v>
      </c>
      <c r="M158" s="2" t="str" cm="1">
        <f t="array" ref="M158">INDEX(tblProdutos[nome_produto], tblVendas[[#This Row],[posicao]])</f>
        <v>Camiseta</v>
      </c>
      <c r="N158" s="2" t="str">
        <f>INDEX(tblProdutos[nome_produto], MATCH(tblVendas[[#This Row],[id_produto]], tblProdutos[id_produto]))</f>
        <v>Camiseta</v>
      </c>
    </row>
    <row r="159" spans="1:14" x14ac:dyDescent="0.25">
      <c r="A159">
        <v>158</v>
      </c>
      <c r="B159">
        <v>3</v>
      </c>
      <c r="C159">
        <v>6</v>
      </c>
      <c r="D159" s="1">
        <v>45449</v>
      </c>
      <c r="E159" s="2" t="s">
        <v>8</v>
      </c>
      <c r="F159" t="str">
        <f>IFERROR(VLOOKUP(tblVendas[[#This Row],[id_produto]], tblProdutos[], 2, 0), "Produto não cadastrado")</f>
        <v>Tênis</v>
      </c>
      <c r="G159" s="3">
        <f>IFERROR(VLOOKUP(tblVendas[[#This Row],[id_produto]], tblProdutos[], 4, 0), "Produto não cadastrado")</f>
        <v>186</v>
      </c>
      <c r="H159" s="6" t="str">
        <f>IFERROR(VLOOKUP(tblVendas[[#This Row],[id_produto]], tblProdutos[], 3, 0), "Produto não cadastrado")</f>
        <v>Vestuário</v>
      </c>
      <c r="I159" s="3">
        <f>tblVendas[[#This Row],[quantidade]]*tblVendas[[#This Row],[preco_unitario]]</f>
        <v>1116</v>
      </c>
      <c r="J159" t="str">
        <f>_xlfn.XLOOKUP(tblVendas[[#This Row],[id_produto]], tblProdutos[id_produto], tblProdutos[nome_produto], "Não encontrado")</f>
        <v>Tênis</v>
      </c>
      <c r="K159" t="str">
        <f>_xlfn.XLOOKUP(tblVendas[[#This Row],[vendedor]], tblVendedores[vendedor], tblVendedores[regiao], "Não encontrado")</f>
        <v>Nordeste</v>
      </c>
      <c r="L159">
        <f>MATCH(tblVendas[[#This Row],[id_produto]], tblProdutos[id_produto])</f>
        <v>3</v>
      </c>
      <c r="M159" s="2" t="str" cm="1">
        <f t="array" ref="M159">INDEX(tblProdutos[nome_produto], tblVendas[[#This Row],[posicao]])</f>
        <v>Tênis</v>
      </c>
      <c r="N159" s="2" t="str">
        <f>INDEX(tblProdutos[nome_produto], MATCH(tblVendas[[#This Row],[id_produto]], tblProdutos[id_produto]))</f>
        <v>Tênis</v>
      </c>
    </row>
    <row r="160" spans="1:14" x14ac:dyDescent="0.25">
      <c r="A160">
        <v>159</v>
      </c>
      <c r="B160">
        <v>10</v>
      </c>
      <c r="C160">
        <v>4</v>
      </c>
      <c r="D160" s="1">
        <v>45450</v>
      </c>
      <c r="E160" s="2" t="s">
        <v>6</v>
      </c>
      <c r="F160" t="str">
        <f>IFERROR(VLOOKUP(tblVendas[[#This Row],[id_produto]], tblProdutos[], 2, 0), "Produto não cadastrado")</f>
        <v>Cinto</v>
      </c>
      <c r="G160" s="3">
        <f>IFERROR(VLOOKUP(tblVendas[[#This Row],[id_produto]], tblProdutos[], 4, 0), "Produto não cadastrado")</f>
        <v>76</v>
      </c>
      <c r="H160" s="6" t="str">
        <f>IFERROR(VLOOKUP(tblVendas[[#This Row],[id_produto]], tblProdutos[], 3, 0), "Produto não cadastrado")</f>
        <v>Acessórios</v>
      </c>
      <c r="I160" s="3">
        <f>tblVendas[[#This Row],[quantidade]]*tblVendas[[#This Row],[preco_unitario]]</f>
        <v>304</v>
      </c>
      <c r="J160" t="str">
        <f>_xlfn.XLOOKUP(tblVendas[[#This Row],[id_produto]], tblProdutos[id_produto], tblProdutos[nome_produto], "Não encontrado")</f>
        <v>Cinto</v>
      </c>
      <c r="K160" t="str">
        <f>_xlfn.XLOOKUP(tblVendas[[#This Row],[vendedor]], tblVendedores[vendedor], tblVendedores[regiao], "Não encontrado")</f>
        <v>Centro-Oeste</v>
      </c>
      <c r="L160">
        <f>MATCH(tblVendas[[#This Row],[id_produto]], tblProdutos[id_produto])</f>
        <v>10</v>
      </c>
      <c r="M160" s="2" t="str" cm="1">
        <f t="array" ref="M160">INDEX(tblProdutos[nome_produto], tblVendas[[#This Row],[posicao]])</f>
        <v>Cinto</v>
      </c>
      <c r="N160" s="2" t="str">
        <f>INDEX(tblProdutos[nome_produto], MATCH(tblVendas[[#This Row],[id_produto]], tblProdutos[id_produto]))</f>
        <v>Cinto</v>
      </c>
    </row>
    <row r="161" spans="1:14" x14ac:dyDescent="0.25">
      <c r="A161">
        <v>160</v>
      </c>
      <c r="B161">
        <v>8</v>
      </c>
      <c r="C161">
        <v>3</v>
      </c>
      <c r="D161" s="1">
        <v>45451</v>
      </c>
      <c r="E161" s="2" t="s">
        <v>6</v>
      </c>
      <c r="F161" t="str">
        <f>IFERROR(VLOOKUP(tblVendas[[#This Row],[id_produto]], tblProdutos[], 2, 0), "Produto não cadastrado")</f>
        <v>Regata</v>
      </c>
      <c r="G161" s="3">
        <f>IFERROR(VLOOKUP(tblVendas[[#This Row],[id_produto]], tblProdutos[], 4, 0), "Produto não cadastrado")</f>
        <v>111</v>
      </c>
      <c r="H161" s="6" t="str">
        <f>IFERROR(VLOOKUP(tblVendas[[#This Row],[id_produto]], tblProdutos[], 3, 0), "Produto não cadastrado")</f>
        <v>Vestuário</v>
      </c>
      <c r="I161" s="3">
        <f>tblVendas[[#This Row],[quantidade]]*tblVendas[[#This Row],[preco_unitario]]</f>
        <v>333</v>
      </c>
      <c r="J161" t="str">
        <f>_xlfn.XLOOKUP(tblVendas[[#This Row],[id_produto]], tblProdutos[id_produto], tblProdutos[nome_produto], "Não encontrado")</f>
        <v>Regata</v>
      </c>
      <c r="K161" t="str">
        <f>_xlfn.XLOOKUP(tblVendas[[#This Row],[vendedor]], tblVendedores[vendedor], tblVendedores[regiao], "Não encontrado")</f>
        <v>Centro-Oeste</v>
      </c>
      <c r="L161">
        <f>MATCH(tblVendas[[#This Row],[id_produto]], tblProdutos[id_produto])</f>
        <v>8</v>
      </c>
      <c r="M161" s="2" t="str" cm="1">
        <f t="array" ref="M161">INDEX(tblProdutos[nome_produto], tblVendas[[#This Row],[posicao]])</f>
        <v>Regata</v>
      </c>
      <c r="N161" s="2" t="str">
        <f>INDEX(tblProdutos[nome_produto], MATCH(tblVendas[[#This Row],[id_produto]], tblProdutos[id_produto]))</f>
        <v>Regata</v>
      </c>
    </row>
    <row r="162" spans="1:14" x14ac:dyDescent="0.25">
      <c r="A162">
        <v>161</v>
      </c>
      <c r="B162">
        <v>6</v>
      </c>
      <c r="C162">
        <v>7</v>
      </c>
      <c r="D162" s="1">
        <v>45452</v>
      </c>
      <c r="E162" s="2" t="s">
        <v>5</v>
      </c>
      <c r="F162" t="str">
        <f>IFERROR(VLOOKUP(tblVendas[[#This Row],[id_produto]], tblProdutos[], 2, 0), "Produto não cadastrado")</f>
        <v>Bermuda</v>
      </c>
      <c r="G162" s="3">
        <f>IFERROR(VLOOKUP(tblVendas[[#This Row],[id_produto]], tblProdutos[], 4, 0), "Produto não cadastrado")</f>
        <v>64</v>
      </c>
      <c r="H162" s="6" t="str">
        <f>IFERROR(VLOOKUP(tblVendas[[#This Row],[id_produto]], tblProdutos[], 3, 0), "Produto não cadastrado")</f>
        <v>Calçados</v>
      </c>
      <c r="I162" s="3">
        <f>tblVendas[[#This Row],[quantidade]]*tblVendas[[#This Row],[preco_unitario]]</f>
        <v>448</v>
      </c>
      <c r="J162" t="str">
        <f>_xlfn.XLOOKUP(tblVendas[[#This Row],[id_produto]], tblProdutos[id_produto], tblProdutos[nome_produto], "Não encontrado")</f>
        <v>Bermuda</v>
      </c>
      <c r="K162" t="str">
        <f>_xlfn.XLOOKUP(tblVendas[[#This Row],[vendedor]], tblVendedores[vendedor], tblVendedores[regiao], "Não encontrado")</f>
        <v>Sudeste</v>
      </c>
      <c r="L162">
        <f>MATCH(tblVendas[[#This Row],[id_produto]], tblProdutos[id_produto])</f>
        <v>6</v>
      </c>
      <c r="M162" s="2" t="str" cm="1">
        <f t="array" ref="M162">INDEX(tblProdutos[nome_produto], tblVendas[[#This Row],[posicao]])</f>
        <v>Bermuda</v>
      </c>
      <c r="N162" s="2" t="str">
        <f>INDEX(tblProdutos[nome_produto], MATCH(tblVendas[[#This Row],[id_produto]], tblProdutos[id_produto]))</f>
        <v>Bermuda</v>
      </c>
    </row>
    <row r="163" spans="1:14" x14ac:dyDescent="0.25">
      <c r="A163">
        <v>162</v>
      </c>
      <c r="B163">
        <v>8</v>
      </c>
      <c r="C163">
        <v>8</v>
      </c>
      <c r="D163" s="1">
        <v>45453</v>
      </c>
      <c r="E163" s="2" t="s">
        <v>7</v>
      </c>
      <c r="F163" t="str">
        <f>IFERROR(VLOOKUP(tblVendas[[#This Row],[id_produto]], tblProdutos[], 2, 0), "Produto não cadastrado")</f>
        <v>Regata</v>
      </c>
      <c r="G163" s="3">
        <f>IFERROR(VLOOKUP(tblVendas[[#This Row],[id_produto]], tblProdutos[], 4, 0), "Produto não cadastrado")</f>
        <v>111</v>
      </c>
      <c r="H163" s="6" t="str">
        <f>IFERROR(VLOOKUP(tblVendas[[#This Row],[id_produto]], tblProdutos[], 3, 0), "Produto não cadastrado")</f>
        <v>Vestuário</v>
      </c>
      <c r="I163" s="3">
        <f>tblVendas[[#This Row],[quantidade]]*tblVendas[[#This Row],[preco_unitario]]</f>
        <v>888</v>
      </c>
      <c r="J163" t="str">
        <f>_xlfn.XLOOKUP(tblVendas[[#This Row],[id_produto]], tblProdutos[id_produto], tblProdutos[nome_produto], "Não encontrado")</f>
        <v>Regata</v>
      </c>
      <c r="K163" t="str">
        <f>_xlfn.XLOOKUP(tblVendas[[#This Row],[vendedor]], tblVendedores[vendedor], tblVendedores[regiao], "Não encontrado")</f>
        <v>Norte</v>
      </c>
      <c r="L163">
        <f>MATCH(tblVendas[[#This Row],[id_produto]], tblProdutos[id_produto])</f>
        <v>8</v>
      </c>
      <c r="M163" s="2" t="str" cm="1">
        <f t="array" ref="M163">INDEX(tblProdutos[nome_produto], tblVendas[[#This Row],[posicao]])</f>
        <v>Regata</v>
      </c>
      <c r="N163" s="2" t="str">
        <f>INDEX(tblProdutos[nome_produto], MATCH(tblVendas[[#This Row],[id_produto]], tblProdutos[id_produto]))</f>
        <v>Regata</v>
      </c>
    </row>
    <row r="164" spans="1:14" x14ac:dyDescent="0.25">
      <c r="A164">
        <v>163</v>
      </c>
      <c r="B164">
        <v>9</v>
      </c>
      <c r="C164">
        <v>4</v>
      </c>
      <c r="D164" s="1">
        <v>45454</v>
      </c>
      <c r="E164" s="2" t="s">
        <v>5</v>
      </c>
      <c r="F164" t="str">
        <f>IFERROR(VLOOKUP(tblVendas[[#This Row],[id_produto]], tblProdutos[], 2, 0), "Produto não cadastrado")</f>
        <v>Meia</v>
      </c>
      <c r="G164" s="3">
        <f>IFERROR(VLOOKUP(tblVendas[[#This Row],[id_produto]], tblProdutos[], 4, 0), "Produto não cadastrado")</f>
        <v>144</v>
      </c>
      <c r="H164" s="6" t="str">
        <f>IFERROR(VLOOKUP(tblVendas[[#This Row],[id_produto]], tblProdutos[], 3, 0), "Produto não cadastrado")</f>
        <v>Vestuário</v>
      </c>
      <c r="I164" s="3">
        <f>tblVendas[[#This Row],[quantidade]]*tblVendas[[#This Row],[preco_unitario]]</f>
        <v>576</v>
      </c>
      <c r="J164" t="str">
        <f>_xlfn.XLOOKUP(tblVendas[[#This Row],[id_produto]], tblProdutos[id_produto], tblProdutos[nome_produto], "Não encontrado")</f>
        <v>Meia</v>
      </c>
      <c r="K164" t="str">
        <f>_xlfn.XLOOKUP(tblVendas[[#This Row],[vendedor]], tblVendedores[vendedor], tblVendedores[regiao], "Não encontrado")</f>
        <v>Sudeste</v>
      </c>
      <c r="L164">
        <f>MATCH(tblVendas[[#This Row],[id_produto]], tblProdutos[id_produto])</f>
        <v>9</v>
      </c>
      <c r="M164" s="2" t="str" cm="1">
        <f t="array" ref="M164">INDEX(tblProdutos[nome_produto], tblVendas[[#This Row],[posicao]])</f>
        <v>Meia</v>
      </c>
      <c r="N164" s="2" t="str">
        <f>INDEX(tblProdutos[nome_produto], MATCH(tblVendas[[#This Row],[id_produto]], tblProdutos[id_produto]))</f>
        <v>Meia</v>
      </c>
    </row>
    <row r="165" spans="1:14" x14ac:dyDescent="0.25">
      <c r="A165">
        <v>164</v>
      </c>
      <c r="B165">
        <v>4</v>
      </c>
      <c r="C165">
        <v>2</v>
      </c>
      <c r="D165" s="1">
        <v>45455</v>
      </c>
      <c r="E165" s="2" t="s">
        <v>7</v>
      </c>
      <c r="F165" t="str">
        <f>IFERROR(VLOOKUP(tblVendas[[#This Row],[id_produto]], tblProdutos[], 2, 0), "Produto não cadastrado")</f>
        <v>Boné</v>
      </c>
      <c r="G165" s="3">
        <f>IFERROR(VLOOKUP(tblVendas[[#This Row],[id_produto]], tblProdutos[], 4, 0), "Produto não cadastrado")</f>
        <v>170</v>
      </c>
      <c r="H165" s="6" t="str">
        <f>IFERROR(VLOOKUP(tblVendas[[#This Row],[id_produto]], tblProdutos[], 3, 0), "Produto não cadastrado")</f>
        <v>Calçados</v>
      </c>
      <c r="I165" s="3">
        <f>tblVendas[[#This Row],[quantidade]]*tblVendas[[#This Row],[preco_unitario]]</f>
        <v>340</v>
      </c>
      <c r="J165" t="str">
        <f>_xlfn.XLOOKUP(tblVendas[[#This Row],[id_produto]], tblProdutos[id_produto], tblProdutos[nome_produto], "Não encontrado")</f>
        <v>Boné</v>
      </c>
      <c r="K165" t="str">
        <f>_xlfn.XLOOKUP(tblVendas[[#This Row],[vendedor]], tblVendedores[vendedor], tblVendedores[regiao], "Não encontrado")</f>
        <v>Norte</v>
      </c>
      <c r="L165">
        <f>MATCH(tblVendas[[#This Row],[id_produto]], tblProdutos[id_produto])</f>
        <v>4</v>
      </c>
      <c r="M165" s="2" t="str" cm="1">
        <f t="array" ref="M165">INDEX(tblProdutos[nome_produto], tblVendas[[#This Row],[posicao]])</f>
        <v>Boné</v>
      </c>
      <c r="N165" s="2" t="str">
        <f>INDEX(tblProdutos[nome_produto], MATCH(tblVendas[[#This Row],[id_produto]], tblProdutos[id_produto]))</f>
        <v>Boné</v>
      </c>
    </row>
    <row r="166" spans="1:14" x14ac:dyDescent="0.25">
      <c r="A166">
        <v>165</v>
      </c>
      <c r="B166">
        <v>1</v>
      </c>
      <c r="C166">
        <v>3</v>
      </c>
      <c r="D166" s="1">
        <v>45456</v>
      </c>
      <c r="E166" s="2" t="s">
        <v>7</v>
      </c>
      <c r="F166" t="str">
        <f>IFERROR(VLOOKUP(tblVendas[[#This Row],[id_produto]], tblProdutos[], 2, 0), "Produto não cadastrado")</f>
        <v>Camiseta</v>
      </c>
      <c r="G166" s="3">
        <f>IFERROR(VLOOKUP(tblVendas[[#This Row],[id_produto]], tblProdutos[], 4, 0), "Produto não cadastrado")</f>
        <v>174</v>
      </c>
      <c r="H166" s="6" t="str">
        <f>IFERROR(VLOOKUP(tblVendas[[#This Row],[id_produto]], tblProdutos[], 3, 0), "Produto não cadastrado")</f>
        <v>Calçados</v>
      </c>
      <c r="I166" s="3">
        <f>tblVendas[[#This Row],[quantidade]]*tblVendas[[#This Row],[preco_unitario]]</f>
        <v>522</v>
      </c>
      <c r="J166" t="str">
        <f>_xlfn.XLOOKUP(tblVendas[[#This Row],[id_produto]], tblProdutos[id_produto], tblProdutos[nome_produto], "Não encontrado")</f>
        <v>Camiseta</v>
      </c>
      <c r="K166" t="str">
        <f>_xlfn.XLOOKUP(tblVendas[[#This Row],[vendedor]], tblVendedores[vendedor], tblVendedores[regiao], "Não encontrado")</f>
        <v>Norte</v>
      </c>
      <c r="L166">
        <f>MATCH(tblVendas[[#This Row],[id_produto]], tblProdutos[id_produto])</f>
        <v>1</v>
      </c>
      <c r="M166" s="2" t="str" cm="1">
        <f t="array" ref="M166">INDEX(tblProdutos[nome_produto], tblVendas[[#This Row],[posicao]])</f>
        <v>Camiseta</v>
      </c>
      <c r="N166" s="2" t="str">
        <f>INDEX(tblProdutos[nome_produto], MATCH(tblVendas[[#This Row],[id_produto]], tblProdutos[id_produto]))</f>
        <v>Camiseta</v>
      </c>
    </row>
    <row r="167" spans="1:14" x14ac:dyDescent="0.25">
      <c r="A167">
        <v>166</v>
      </c>
      <c r="B167">
        <v>1</v>
      </c>
      <c r="C167">
        <v>1</v>
      </c>
      <c r="D167" s="1">
        <v>45457</v>
      </c>
      <c r="E167" s="2" t="s">
        <v>6</v>
      </c>
      <c r="F167" t="str">
        <f>IFERROR(VLOOKUP(tblVendas[[#This Row],[id_produto]], tblProdutos[], 2, 0), "Produto não cadastrado")</f>
        <v>Camiseta</v>
      </c>
      <c r="G167" s="3">
        <f>IFERROR(VLOOKUP(tblVendas[[#This Row],[id_produto]], tblProdutos[], 4, 0), "Produto não cadastrado")</f>
        <v>174</v>
      </c>
      <c r="H167" s="6" t="str">
        <f>IFERROR(VLOOKUP(tblVendas[[#This Row],[id_produto]], tblProdutos[], 3, 0), "Produto não cadastrado")</f>
        <v>Calçados</v>
      </c>
      <c r="I167" s="3">
        <f>tblVendas[[#This Row],[quantidade]]*tblVendas[[#This Row],[preco_unitario]]</f>
        <v>174</v>
      </c>
      <c r="J167" t="str">
        <f>_xlfn.XLOOKUP(tblVendas[[#This Row],[id_produto]], tblProdutos[id_produto], tblProdutos[nome_produto], "Não encontrado")</f>
        <v>Camiseta</v>
      </c>
      <c r="K167" t="str">
        <f>_xlfn.XLOOKUP(tblVendas[[#This Row],[vendedor]], tblVendedores[vendedor], tblVendedores[regiao], "Não encontrado")</f>
        <v>Centro-Oeste</v>
      </c>
      <c r="L167">
        <f>MATCH(tblVendas[[#This Row],[id_produto]], tblProdutos[id_produto])</f>
        <v>1</v>
      </c>
      <c r="M167" s="2" t="str" cm="1">
        <f t="array" ref="M167">INDEX(tblProdutos[nome_produto], tblVendas[[#This Row],[posicao]])</f>
        <v>Camiseta</v>
      </c>
      <c r="N167" s="2" t="str">
        <f>INDEX(tblProdutos[nome_produto], MATCH(tblVendas[[#This Row],[id_produto]], tblProdutos[id_produto]))</f>
        <v>Camiseta</v>
      </c>
    </row>
    <row r="168" spans="1:14" x14ac:dyDescent="0.25">
      <c r="A168">
        <v>167</v>
      </c>
      <c r="B168">
        <v>10</v>
      </c>
      <c r="C168">
        <v>8</v>
      </c>
      <c r="D168" s="1">
        <v>45458</v>
      </c>
      <c r="E168" s="2" t="s">
        <v>9</v>
      </c>
      <c r="F168" t="str">
        <f>IFERROR(VLOOKUP(tblVendas[[#This Row],[id_produto]], tblProdutos[], 2, 0), "Produto não cadastrado")</f>
        <v>Cinto</v>
      </c>
      <c r="G168" s="3">
        <f>IFERROR(VLOOKUP(tblVendas[[#This Row],[id_produto]], tblProdutos[], 4, 0), "Produto não cadastrado")</f>
        <v>76</v>
      </c>
      <c r="H168" s="6" t="str">
        <f>IFERROR(VLOOKUP(tblVendas[[#This Row],[id_produto]], tblProdutos[], 3, 0), "Produto não cadastrado")</f>
        <v>Acessórios</v>
      </c>
      <c r="I168" s="3">
        <f>tblVendas[[#This Row],[quantidade]]*tblVendas[[#This Row],[preco_unitario]]</f>
        <v>608</v>
      </c>
      <c r="J168" t="str">
        <f>_xlfn.XLOOKUP(tblVendas[[#This Row],[id_produto]], tblProdutos[id_produto], tblProdutos[nome_produto], "Não encontrado")</f>
        <v>Cinto</v>
      </c>
      <c r="K168" t="str">
        <f>_xlfn.XLOOKUP(tblVendas[[#This Row],[vendedor]], tblVendedores[vendedor], tblVendedores[regiao], "Não encontrado")</f>
        <v>Sul</v>
      </c>
      <c r="L168">
        <f>MATCH(tblVendas[[#This Row],[id_produto]], tblProdutos[id_produto])</f>
        <v>10</v>
      </c>
      <c r="M168" s="2" t="str" cm="1">
        <f t="array" ref="M168">INDEX(tblProdutos[nome_produto], tblVendas[[#This Row],[posicao]])</f>
        <v>Cinto</v>
      </c>
      <c r="N168" s="2" t="str">
        <f>INDEX(tblProdutos[nome_produto], MATCH(tblVendas[[#This Row],[id_produto]], tblProdutos[id_produto]))</f>
        <v>Cinto</v>
      </c>
    </row>
    <row r="169" spans="1:14" x14ac:dyDescent="0.25">
      <c r="A169">
        <v>168</v>
      </c>
      <c r="B169">
        <v>4</v>
      </c>
      <c r="C169">
        <v>3</v>
      </c>
      <c r="D169" s="1">
        <v>45459</v>
      </c>
      <c r="E169" s="2" t="s">
        <v>9</v>
      </c>
      <c r="F169" t="str">
        <f>IFERROR(VLOOKUP(tblVendas[[#This Row],[id_produto]], tblProdutos[], 2, 0), "Produto não cadastrado")</f>
        <v>Boné</v>
      </c>
      <c r="G169" s="3">
        <f>IFERROR(VLOOKUP(tblVendas[[#This Row],[id_produto]], tblProdutos[], 4, 0), "Produto não cadastrado")</f>
        <v>170</v>
      </c>
      <c r="H169" s="6" t="str">
        <f>IFERROR(VLOOKUP(tblVendas[[#This Row],[id_produto]], tblProdutos[], 3, 0), "Produto não cadastrado")</f>
        <v>Calçados</v>
      </c>
      <c r="I169" s="3">
        <f>tblVendas[[#This Row],[quantidade]]*tblVendas[[#This Row],[preco_unitario]]</f>
        <v>510</v>
      </c>
      <c r="J169" t="str">
        <f>_xlfn.XLOOKUP(tblVendas[[#This Row],[id_produto]], tblProdutos[id_produto], tblProdutos[nome_produto], "Não encontrado")</f>
        <v>Boné</v>
      </c>
      <c r="K169" t="str">
        <f>_xlfn.XLOOKUP(tblVendas[[#This Row],[vendedor]], tblVendedores[vendedor], tblVendedores[regiao], "Não encontrado")</f>
        <v>Sul</v>
      </c>
      <c r="L169">
        <f>MATCH(tblVendas[[#This Row],[id_produto]], tblProdutos[id_produto])</f>
        <v>4</v>
      </c>
      <c r="M169" s="2" t="str" cm="1">
        <f t="array" ref="M169">INDEX(tblProdutos[nome_produto], tblVendas[[#This Row],[posicao]])</f>
        <v>Boné</v>
      </c>
      <c r="N169" s="2" t="str">
        <f>INDEX(tblProdutos[nome_produto], MATCH(tblVendas[[#This Row],[id_produto]], tblProdutos[id_produto]))</f>
        <v>Boné</v>
      </c>
    </row>
    <row r="170" spans="1:14" x14ac:dyDescent="0.25">
      <c r="A170">
        <v>169</v>
      </c>
      <c r="B170">
        <v>7</v>
      </c>
      <c r="C170">
        <v>7</v>
      </c>
      <c r="D170" s="1">
        <v>45460</v>
      </c>
      <c r="E170" s="2" t="s">
        <v>8</v>
      </c>
      <c r="F170" t="str">
        <f>IFERROR(VLOOKUP(tblVendas[[#This Row],[id_produto]], tblProdutos[], 2, 0), "Produto não cadastrado")</f>
        <v>Jaqueta</v>
      </c>
      <c r="G170" s="3">
        <f>IFERROR(VLOOKUP(tblVendas[[#This Row],[id_produto]], tblProdutos[], 4, 0), "Produto não cadastrado")</f>
        <v>163</v>
      </c>
      <c r="H170" s="6" t="str">
        <f>IFERROR(VLOOKUP(tblVendas[[#This Row],[id_produto]], tblProdutos[], 3, 0), "Produto não cadastrado")</f>
        <v>Calçados</v>
      </c>
      <c r="I170" s="3">
        <f>tblVendas[[#This Row],[quantidade]]*tblVendas[[#This Row],[preco_unitario]]</f>
        <v>1141</v>
      </c>
      <c r="J170" t="str">
        <f>_xlfn.XLOOKUP(tblVendas[[#This Row],[id_produto]], tblProdutos[id_produto], tblProdutos[nome_produto], "Não encontrado")</f>
        <v>Jaqueta</v>
      </c>
      <c r="K170" t="str">
        <f>_xlfn.XLOOKUP(tblVendas[[#This Row],[vendedor]], tblVendedores[vendedor], tblVendedores[regiao], "Não encontrado")</f>
        <v>Nordeste</v>
      </c>
      <c r="L170">
        <f>MATCH(tblVendas[[#This Row],[id_produto]], tblProdutos[id_produto])</f>
        <v>7</v>
      </c>
      <c r="M170" s="2" t="str" cm="1">
        <f t="array" ref="M170">INDEX(tblProdutos[nome_produto], tblVendas[[#This Row],[posicao]])</f>
        <v>Jaqueta</v>
      </c>
      <c r="N170" s="2" t="str">
        <f>INDEX(tblProdutos[nome_produto], MATCH(tblVendas[[#This Row],[id_produto]], tblProdutos[id_produto]))</f>
        <v>Jaqueta</v>
      </c>
    </row>
    <row r="171" spans="1:14" x14ac:dyDescent="0.25">
      <c r="A171">
        <v>170</v>
      </c>
      <c r="B171">
        <v>2</v>
      </c>
      <c r="C171">
        <v>5</v>
      </c>
      <c r="D171" s="1">
        <v>45461</v>
      </c>
      <c r="E171" s="2" t="s">
        <v>6</v>
      </c>
      <c r="F171" t="str">
        <f>IFERROR(VLOOKUP(tblVendas[[#This Row],[id_produto]], tblProdutos[], 2, 0), "Produto não cadastrado")</f>
        <v>Calça Jeans</v>
      </c>
      <c r="G171" s="3">
        <f>IFERROR(VLOOKUP(tblVendas[[#This Row],[id_produto]], tblProdutos[], 4, 0), "Produto não cadastrado")</f>
        <v>190</v>
      </c>
      <c r="H171" s="6" t="str">
        <f>IFERROR(VLOOKUP(tblVendas[[#This Row],[id_produto]], tblProdutos[], 3, 0), "Produto não cadastrado")</f>
        <v>Calçados</v>
      </c>
      <c r="I171" s="3">
        <f>tblVendas[[#This Row],[quantidade]]*tblVendas[[#This Row],[preco_unitario]]</f>
        <v>950</v>
      </c>
      <c r="J171" t="str">
        <f>_xlfn.XLOOKUP(tblVendas[[#This Row],[id_produto]], tblProdutos[id_produto], tblProdutos[nome_produto], "Não encontrado")</f>
        <v>Calça Jeans</v>
      </c>
      <c r="K171" t="str">
        <f>_xlfn.XLOOKUP(tblVendas[[#This Row],[vendedor]], tblVendedores[vendedor], tblVendedores[regiao], "Não encontrado")</f>
        <v>Centro-Oeste</v>
      </c>
      <c r="L171">
        <f>MATCH(tblVendas[[#This Row],[id_produto]], tblProdutos[id_produto])</f>
        <v>2</v>
      </c>
      <c r="M171" s="2" t="str" cm="1">
        <f t="array" ref="M171">INDEX(tblProdutos[nome_produto], tblVendas[[#This Row],[posicao]])</f>
        <v>Calça Jeans</v>
      </c>
      <c r="N171" s="2" t="str">
        <f>INDEX(tblProdutos[nome_produto], MATCH(tblVendas[[#This Row],[id_produto]], tblProdutos[id_produto]))</f>
        <v>Calça Jeans</v>
      </c>
    </row>
    <row r="172" spans="1:14" x14ac:dyDescent="0.25">
      <c r="A172">
        <v>171</v>
      </c>
      <c r="B172">
        <v>3</v>
      </c>
      <c r="C172">
        <v>5</v>
      </c>
      <c r="D172" s="1">
        <v>45462</v>
      </c>
      <c r="E172" s="2" t="s">
        <v>7</v>
      </c>
      <c r="F172" t="str">
        <f>IFERROR(VLOOKUP(tblVendas[[#This Row],[id_produto]], tblProdutos[], 2, 0), "Produto não cadastrado")</f>
        <v>Tênis</v>
      </c>
      <c r="G172" s="3">
        <f>IFERROR(VLOOKUP(tblVendas[[#This Row],[id_produto]], tblProdutos[], 4, 0), "Produto não cadastrado")</f>
        <v>186</v>
      </c>
      <c r="H172" s="6" t="str">
        <f>IFERROR(VLOOKUP(tblVendas[[#This Row],[id_produto]], tblProdutos[], 3, 0), "Produto não cadastrado")</f>
        <v>Vestuário</v>
      </c>
      <c r="I172" s="3">
        <f>tblVendas[[#This Row],[quantidade]]*tblVendas[[#This Row],[preco_unitario]]</f>
        <v>930</v>
      </c>
      <c r="J172" t="str">
        <f>_xlfn.XLOOKUP(tblVendas[[#This Row],[id_produto]], tblProdutos[id_produto], tblProdutos[nome_produto], "Não encontrado")</f>
        <v>Tênis</v>
      </c>
      <c r="K172" t="str">
        <f>_xlfn.XLOOKUP(tblVendas[[#This Row],[vendedor]], tblVendedores[vendedor], tblVendedores[regiao], "Não encontrado")</f>
        <v>Norte</v>
      </c>
      <c r="L172">
        <f>MATCH(tblVendas[[#This Row],[id_produto]], tblProdutos[id_produto])</f>
        <v>3</v>
      </c>
      <c r="M172" s="2" t="str" cm="1">
        <f t="array" ref="M172">INDEX(tblProdutos[nome_produto], tblVendas[[#This Row],[posicao]])</f>
        <v>Tênis</v>
      </c>
      <c r="N172" s="2" t="str">
        <f>INDEX(tblProdutos[nome_produto], MATCH(tblVendas[[#This Row],[id_produto]], tblProdutos[id_produto]))</f>
        <v>Tênis</v>
      </c>
    </row>
    <row r="173" spans="1:14" x14ac:dyDescent="0.25">
      <c r="A173">
        <v>172</v>
      </c>
      <c r="B173">
        <v>1</v>
      </c>
      <c r="C173">
        <v>7</v>
      </c>
      <c r="D173" s="1">
        <v>45463</v>
      </c>
      <c r="E173" s="2" t="s">
        <v>9</v>
      </c>
      <c r="F173" t="str">
        <f>IFERROR(VLOOKUP(tblVendas[[#This Row],[id_produto]], tblProdutos[], 2, 0), "Produto não cadastrado")</f>
        <v>Camiseta</v>
      </c>
      <c r="G173" s="3">
        <f>IFERROR(VLOOKUP(tblVendas[[#This Row],[id_produto]], tblProdutos[], 4, 0), "Produto não cadastrado")</f>
        <v>174</v>
      </c>
      <c r="H173" s="6" t="str">
        <f>IFERROR(VLOOKUP(tblVendas[[#This Row],[id_produto]], tblProdutos[], 3, 0), "Produto não cadastrado")</f>
        <v>Calçados</v>
      </c>
      <c r="I173" s="3">
        <f>tblVendas[[#This Row],[quantidade]]*tblVendas[[#This Row],[preco_unitario]]</f>
        <v>1218</v>
      </c>
      <c r="J173" t="str">
        <f>_xlfn.XLOOKUP(tblVendas[[#This Row],[id_produto]], tblProdutos[id_produto], tblProdutos[nome_produto], "Não encontrado")</f>
        <v>Camiseta</v>
      </c>
      <c r="K173" t="str">
        <f>_xlfn.XLOOKUP(tblVendas[[#This Row],[vendedor]], tblVendedores[vendedor], tblVendedores[regiao], "Não encontrado")</f>
        <v>Sul</v>
      </c>
      <c r="L173">
        <f>MATCH(tblVendas[[#This Row],[id_produto]], tblProdutos[id_produto])</f>
        <v>1</v>
      </c>
      <c r="M173" s="2" t="str" cm="1">
        <f t="array" ref="M173">INDEX(tblProdutos[nome_produto], tblVendas[[#This Row],[posicao]])</f>
        <v>Camiseta</v>
      </c>
      <c r="N173" s="2" t="str">
        <f>INDEX(tblProdutos[nome_produto], MATCH(tblVendas[[#This Row],[id_produto]], tblProdutos[id_produto]))</f>
        <v>Camiseta</v>
      </c>
    </row>
    <row r="174" spans="1:14" x14ac:dyDescent="0.25">
      <c r="A174">
        <v>173</v>
      </c>
      <c r="B174">
        <v>5</v>
      </c>
      <c r="C174">
        <v>9</v>
      </c>
      <c r="D174" s="1">
        <v>45464</v>
      </c>
      <c r="E174" s="2" t="s">
        <v>7</v>
      </c>
      <c r="F174" t="str">
        <f>IFERROR(VLOOKUP(tblVendas[[#This Row],[id_produto]], tblProdutos[], 2, 0), "Produto não cadastrado")</f>
        <v>Moletom</v>
      </c>
      <c r="G174" s="3">
        <f>IFERROR(VLOOKUP(tblVendas[[#This Row],[id_produto]], tblProdutos[], 4, 0), "Produto não cadastrado")</f>
        <v>75</v>
      </c>
      <c r="H174" s="6" t="str">
        <f>IFERROR(VLOOKUP(tblVendas[[#This Row],[id_produto]], tblProdutos[], 3, 0), "Produto não cadastrado")</f>
        <v>Calçados</v>
      </c>
      <c r="I174" s="3">
        <f>tblVendas[[#This Row],[quantidade]]*tblVendas[[#This Row],[preco_unitario]]</f>
        <v>675</v>
      </c>
      <c r="J174" t="str">
        <f>_xlfn.XLOOKUP(tblVendas[[#This Row],[id_produto]], tblProdutos[id_produto], tblProdutos[nome_produto], "Não encontrado")</f>
        <v>Moletom</v>
      </c>
      <c r="K174" t="str">
        <f>_xlfn.XLOOKUP(tblVendas[[#This Row],[vendedor]], tblVendedores[vendedor], tblVendedores[regiao], "Não encontrado")</f>
        <v>Norte</v>
      </c>
      <c r="L174">
        <f>MATCH(tblVendas[[#This Row],[id_produto]], tblProdutos[id_produto])</f>
        <v>5</v>
      </c>
      <c r="M174" s="2" t="str" cm="1">
        <f t="array" ref="M174">INDEX(tblProdutos[nome_produto], tblVendas[[#This Row],[posicao]])</f>
        <v>Moletom</v>
      </c>
      <c r="N174" s="2" t="str">
        <f>INDEX(tblProdutos[nome_produto], MATCH(tblVendas[[#This Row],[id_produto]], tblProdutos[id_produto]))</f>
        <v>Moletom</v>
      </c>
    </row>
    <row r="175" spans="1:14" x14ac:dyDescent="0.25">
      <c r="A175">
        <v>174</v>
      </c>
      <c r="B175">
        <v>1</v>
      </c>
      <c r="C175">
        <v>5</v>
      </c>
      <c r="D175" s="1">
        <v>45465</v>
      </c>
      <c r="E175" s="2" t="s">
        <v>9</v>
      </c>
      <c r="F175" t="str">
        <f>IFERROR(VLOOKUP(tblVendas[[#This Row],[id_produto]], tblProdutos[], 2, 0), "Produto não cadastrado")</f>
        <v>Camiseta</v>
      </c>
      <c r="G175" s="3">
        <f>IFERROR(VLOOKUP(tblVendas[[#This Row],[id_produto]], tblProdutos[], 4, 0), "Produto não cadastrado")</f>
        <v>174</v>
      </c>
      <c r="H175" s="6" t="str">
        <f>IFERROR(VLOOKUP(tblVendas[[#This Row],[id_produto]], tblProdutos[], 3, 0), "Produto não cadastrado")</f>
        <v>Calçados</v>
      </c>
      <c r="I175" s="3">
        <f>tblVendas[[#This Row],[quantidade]]*tblVendas[[#This Row],[preco_unitario]]</f>
        <v>870</v>
      </c>
      <c r="J175" t="str">
        <f>_xlfn.XLOOKUP(tblVendas[[#This Row],[id_produto]], tblProdutos[id_produto], tblProdutos[nome_produto], "Não encontrado")</f>
        <v>Camiseta</v>
      </c>
      <c r="K175" t="str">
        <f>_xlfn.XLOOKUP(tblVendas[[#This Row],[vendedor]], tblVendedores[vendedor], tblVendedores[regiao], "Não encontrado")</f>
        <v>Sul</v>
      </c>
      <c r="L175">
        <f>MATCH(tblVendas[[#This Row],[id_produto]], tblProdutos[id_produto])</f>
        <v>1</v>
      </c>
      <c r="M175" s="2" t="str" cm="1">
        <f t="array" ref="M175">INDEX(tblProdutos[nome_produto], tblVendas[[#This Row],[posicao]])</f>
        <v>Camiseta</v>
      </c>
      <c r="N175" s="2" t="str">
        <f>INDEX(tblProdutos[nome_produto], MATCH(tblVendas[[#This Row],[id_produto]], tblProdutos[id_produto]))</f>
        <v>Camiseta</v>
      </c>
    </row>
    <row r="176" spans="1:14" x14ac:dyDescent="0.25">
      <c r="A176">
        <v>175</v>
      </c>
      <c r="B176">
        <v>8</v>
      </c>
      <c r="C176">
        <v>1</v>
      </c>
      <c r="D176" s="1">
        <v>45466</v>
      </c>
      <c r="E176" s="2" t="s">
        <v>9</v>
      </c>
      <c r="F176" t="str">
        <f>IFERROR(VLOOKUP(tblVendas[[#This Row],[id_produto]], tblProdutos[], 2, 0), "Produto não cadastrado")</f>
        <v>Regata</v>
      </c>
      <c r="G176" s="3">
        <f>IFERROR(VLOOKUP(tblVendas[[#This Row],[id_produto]], tblProdutos[], 4, 0), "Produto não cadastrado")</f>
        <v>111</v>
      </c>
      <c r="H176" s="6" t="str">
        <f>IFERROR(VLOOKUP(tblVendas[[#This Row],[id_produto]], tblProdutos[], 3, 0), "Produto não cadastrado")</f>
        <v>Vestuário</v>
      </c>
      <c r="I176" s="3">
        <f>tblVendas[[#This Row],[quantidade]]*tblVendas[[#This Row],[preco_unitario]]</f>
        <v>111</v>
      </c>
      <c r="J176" t="str">
        <f>_xlfn.XLOOKUP(tblVendas[[#This Row],[id_produto]], tblProdutos[id_produto], tblProdutos[nome_produto], "Não encontrado")</f>
        <v>Regata</v>
      </c>
      <c r="K176" t="str">
        <f>_xlfn.XLOOKUP(tblVendas[[#This Row],[vendedor]], tblVendedores[vendedor], tblVendedores[regiao], "Não encontrado")</f>
        <v>Sul</v>
      </c>
      <c r="L176">
        <f>MATCH(tblVendas[[#This Row],[id_produto]], tblProdutos[id_produto])</f>
        <v>8</v>
      </c>
      <c r="M176" s="2" t="str" cm="1">
        <f t="array" ref="M176">INDEX(tblProdutos[nome_produto], tblVendas[[#This Row],[posicao]])</f>
        <v>Regata</v>
      </c>
      <c r="N176" s="2" t="str">
        <f>INDEX(tblProdutos[nome_produto], MATCH(tblVendas[[#This Row],[id_produto]], tblProdutos[id_produto]))</f>
        <v>Regata</v>
      </c>
    </row>
    <row r="177" spans="1:14" x14ac:dyDescent="0.25">
      <c r="A177">
        <v>176</v>
      </c>
      <c r="B177">
        <v>1</v>
      </c>
      <c r="C177">
        <v>1</v>
      </c>
      <c r="D177" s="1">
        <v>45467</v>
      </c>
      <c r="E177" s="2" t="s">
        <v>9</v>
      </c>
      <c r="F177" t="str">
        <f>IFERROR(VLOOKUP(tblVendas[[#This Row],[id_produto]], tblProdutos[], 2, 0), "Produto não cadastrado")</f>
        <v>Camiseta</v>
      </c>
      <c r="G177" s="3">
        <f>IFERROR(VLOOKUP(tblVendas[[#This Row],[id_produto]], tblProdutos[], 4, 0), "Produto não cadastrado")</f>
        <v>174</v>
      </c>
      <c r="H177" s="6" t="str">
        <f>IFERROR(VLOOKUP(tblVendas[[#This Row],[id_produto]], tblProdutos[], 3, 0), "Produto não cadastrado")</f>
        <v>Calçados</v>
      </c>
      <c r="I177" s="3">
        <f>tblVendas[[#This Row],[quantidade]]*tblVendas[[#This Row],[preco_unitario]]</f>
        <v>174</v>
      </c>
      <c r="J177" t="str">
        <f>_xlfn.XLOOKUP(tblVendas[[#This Row],[id_produto]], tblProdutos[id_produto], tblProdutos[nome_produto], "Não encontrado")</f>
        <v>Camiseta</v>
      </c>
      <c r="K177" t="str">
        <f>_xlfn.XLOOKUP(tblVendas[[#This Row],[vendedor]], tblVendedores[vendedor], tblVendedores[regiao], "Não encontrado")</f>
        <v>Sul</v>
      </c>
      <c r="L177">
        <f>MATCH(tblVendas[[#This Row],[id_produto]], tblProdutos[id_produto])</f>
        <v>1</v>
      </c>
      <c r="M177" s="2" t="str" cm="1">
        <f t="array" ref="M177">INDEX(tblProdutos[nome_produto], tblVendas[[#This Row],[posicao]])</f>
        <v>Camiseta</v>
      </c>
      <c r="N177" s="2" t="str">
        <f>INDEX(tblProdutos[nome_produto], MATCH(tblVendas[[#This Row],[id_produto]], tblProdutos[id_produto]))</f>
        <v>Camiseta</v>
      </c>
    </row>
    <row r="178" spans="1:14" x14ac:dyDescent="0.25">
      <c r="A178">
        <v>177</v>
      </c>
      <c r="B178">
        <v>1</v>
      </c>
      <c r="C178">
        <v>2</v>
      </c>
      <c r="D178" s="1">
        <v>45468</v>
      </c>
      <c r="E178" s="2" t="s">
        <v>6</v>
      </c>
      <c r="F178" t="str">
        <f>IFERROR(VLOOKUP(tblVendas[[#This Row],[id_produto]], tblProdutos[], 2, 0), "Produto não cadastrado")</f>
        <v>Camiseta</v>
      </c>
      <c r="G178" s="3">
        <f>IFERROR(VLOOKUP(tblVendas[[#This Row],[id_produto]], tblProdutos[], 4, 0), "Produto não cadastrado")</f>
        <v>174</v>
      </c>
      <c r="H178" s="6" t="str">
        <f>IFERROR(VLOOKUP(tblVendas[[#This Row],[id_produto]], tblProdutos[], 3, 0), "Produto não cadastrado")</f>
        <v>Calçados</v>
      </c>
      <c r="I178" s="3">
        <f>tblVendas[[#This Row],[quantidade]]*tblVendas[[#This Row],[preco_unitario]]</f>
        <v>348</v>
      </c>
      <c r="J178" t="str">
        <f>_xlfn.XLOOKUP(tblVendas[[#This Row],[id_produto]], tblProdutos[id_produto], tblProdutos[nome_produto], "Não encontrado")</f>
        <v>Camiseta</v>
      </c>
      <c r="K178" t="str">
        <f>_xlfn.XLOOKUP(tblVendas[[#This Row],[vendedor]], tblVendedores[vendedor], tblVendedores[regiao], "Não encontrado")</f>
        <v>Centro-Oeste</v>
      </c>
      <c r="L178">
        <f>MATCH(tblVendas[[#This Row],[id_produto]], tblProdutos[id_produto])</f>
        <v>1</v>
      </c>
      <c r="M178" s="2" t="str" cm="1">
        <f t="array" ref="M178">INDEX(tblProdutos[nome_produto], tblVendas[[#This Row],[posicao]])</f>
        <v>Camiseta</v>
      </c>
      <c r="N178" s="2" t="str">
        <f>INDEX(tblProdutos[nome_produto], MATCH(tblVendas[[#This Row],[id_produto]], tblProdutos[id_produto]))</f>
        <v>Camiseta</v>
      </c>
    </row>
    <row r="179" spans="1:14" x14ac:dyDescent="0.25">
      <c r="A179">
        <v>178</v>
      </c>
      <c r="B179">
        <v>2</v>
      </c>
      <c r="C179">
        <v>6</v>
      </c>
      <c r="D179" s="1">
        <v>45469</v>
      </c>
      <c r="E179" s="2" t="s">
        <v>5</v>
      </c>
      <c r="F179" t="str">
        <f>IFERROR(VLOOKUP(tblVendas[[#This Row],[id_produto]], tblProdutos[], 2, 0), "Produto não cadastrado")</f>
        <v>Calça Jeans</v>
      </c>
      <c r="G179" s="3">
        <f>IFERROR(VLOOKUP(tblVendas[[#This Row],[id_produto]], tblProdutos[], 4, 0), "Produto não cadastrado")</f>
        <v>190</v>
      </c>
      <c r="H179" s="6" t="str">
        <f>IFERROR(VLOOKUP(tblVendas[[#This Row],[id_produto]], tblProdutos[], 3, 0), "Produto não cadastrado")</f>
        <v>Calçados</v>
      </c>
      <c r="I179" s="3">
        <f>tblVendas[[#This Row],[quantidade]]*tblVendas[[#This Row],[preco_unitario]]</f>
        <v>1140</v>
      </c>
      <c r="J179" t="str">
        <f>_xlfn.XLOOKUP(tblVendas[[#This Row],[id_produto]], tblProdutos[id_produto], tblProdutos[nome_produto], "Não encontrado")</f>
        <v>Calça Jeans</v>
      </c>
      <c r="K179" t="str">
        <f>_xlfn.XLOOKUP(tblVendas[[#This Row],[vendedor]], tblVendedores[vendedor], tblVendedores[regiao], "Não encontrado")</f>
        <v>Sudeste</v>
      </c>
      <c r="L179">
        <f>MATCH(tblVendas[[#This Row],[id_produto]], tblProdutos[id_produto])</f>
        <v>2</v>
      </c>
      <c r="M179" s="2" t="str" cm="1">
        <f t="array" ref="M179">INDEX(tblProdutos[nome_produto], tblVendas[[#This Row],[posicao]])</f>
        <v>Calça Jeans</v>
      </c>
      <c r="N179" s="2" t="str">
        <f>INDEX(tblProdutos[nome_produto], MATCH(tblVendas[[#This Row],[id_produto]], tblProdutos[id_produto]))</f>
        <v>Calça Jeans</v>
      </c>
    </row>
    <row r="180" spans="1:14" x14ac:dyDescent="0.25">
      <c r="A180">
        <v>179</v>
      </c>
      <c r="B180">
        <v>2</v>
      </c>
      <c r="C180">
        <v>9</v>
      </c>
      <c r="D180" s="1">
        <v>45470</v>
      </c>
      <c r="E180" s="2" t="s">
        <v>7</v>
      </c>
      <c r="F180" t="str">
        <f>IFERROR(VLOOKUP(tblVendas[[#This Row],[id_produto]], tblProdutos[], 2, 0), "Produto não cadastrado")</f>
        <v>Calça Jeans</v>
      </c>
      <c r="G180" s="3">
        <f>IFERROR(VLOOKUP(tblVendas[[#This Row],[id_produto]], tblProdutos[], 4, 0), "Produto não cadastrado")</f>
        <v>190</v>
      </c>
      <c r="H180" s="6" t="str">
        <f>IFERROR(VLOOKUP(tblVendas[[#This Row],[id_produto]], tblProdutos[], 3, 0), "Produto não cadastrado")</f>
        <v>Calçados</v>
      </c>
      <c r="I180" s="3">
        <f>tblVendas[[#This Row],[quantidade]]*tblVendas[[#This Row],[preco_unitario]]</f>
        <v>1710</v>
      </c>
      <c r="J180" t="str">
        <f>_xlfn.XLOOKUP(tblVendas[[#This Row],[id_produto]], tblProdutos[id_produto], tblProdutos[nome_produto], "Não encontrado")</f>
        <v>Calça Jeans</v>
      </c>
      <c r="K180" t="str">
        <f>_xlfn.XLOOKUP(tblVendas[[#This Row],[vendedor]], tblVendedores[vendedor], tblVendedores[regiao], "Não encontrado")</f>
        <v>Norte</v>
      </c>
      <c r="L180">
        <f>MATCH(tblVendas[[#This Row],[id_produto]], tblProdutos[id_produto])</f>
        <v>2</v>
      </c>
      <c r="M180" s="2" t="str" cm="1">
        <f t="array" ref="M180">INDEX(tblProdutos[nome_produto], tblVendas[[#This Row],[posicao]])</f>
        <v>Calça Jeans</v>
      </c>
      <c r="N180" s="2" t="str">
        <f>INDEX(tblProdutos[nome_produto], MATCH(tblVendas[[#This Row],[id_produto]], tblProdutos[id_produto]))</f>
        <v>Calça Jeans</v>
      </c>
    </row>
    <row r="181" spans="1:14" x14ac:dyDescent="0.25">
      <c r="A181">
        <v>180</v>
      </c>
      <c r="B181">
        <v>6</v>
      </c>
      <c r="C181">
        <v>8</v>
      </c>
      <c r="D181" s="1">
        <v>45471</v>
      </c>
      <c r="E181" s="2" t="s">
        <v>6</v>
      </c>
      <c r="F181" t="str">
        <f>IFERROR(VLOOKUP(tblVendas[[#This Row],[id_produto]], tblProdutos[], 2, 0), "Produto não cadastrado")</f>
        <v>Bermuda</v>
      </c>
      <c r="G181" s="3">
        <f>IFERROR(VLOOKUP(tblVendas[[#This Row],[id_produto]], tblProdutos[], 4, 0), "Produto não cadastrado")</f>
        <v>64</v>
      </c>
      <c r="H181" s="6" t="str">
        <f>IFERROR(VLOOKUP(tblVendas[[#This Row],[id_produto]], tblProdutos[], 3, 0), "Produto não cadastrado")</f>
        <v>Calçados</v>
      </c>
      <c r="I181" s="3">
        <f>tblVendas[[#This Row],[quantidade]]*tblVendas[[#This Row],[preco_unitario]]</f>
        <v>512</v>
      </c>
      <c r="J181" t="str">
        <f>_xlfn.XLOOKUP(tblVendas[[#This Row],[id_produto]], tblProdutos[id_produto], tblProdutos[nome_produto], "Não encontrado")</f>
        <v>Bermuda</v>
      </c>
      <c r="K181" t="str">
        <f>_xlfn.XLOOKUP(tblVendas[[#This Row],[vendedor]], tblVendedores[vendedor], tblVendedores[regiao], "Não encontrado")</f>
        <v>Centro-Oeste</v>
      </c>
      <c r="L181">
        <f>MATCH(tblVendas[[#This Row],[id_produto]], tblProdutos[id_produto])</f>
        <v>6</v>
      </c>
      <c r="M181" s="2" t="str" cm="1">
        <f t="array" ref="M181">INDEX(tblProdutos[nome_produto], tblVendas[[#This Row],[posicao]])</f>
        <v>Bermuda</v>
      </c>
      <c r="N181" s="2" t="str">
        <f>INDEX(tblProdutos[nome_produto], MATCH(tblVendas[[#This Row],[id_produto]], tblProdutos[id_produto]))</f>
        <v>Bermuda</v>
      </c>
    </row>
    <row r="182" spans="1:14" x14ac:dyDescent="0.25">
      <c r="A182">
        <v>181</v>
      </c>
      <c r="B182">
        <v>7</v>
      </c>
      <c r="C182">
        <v>5</v>
      </c>
      <c r="D182" s="1">
        <v>45472</v>
      </c>
      <c r="E182" s="2" t="s">
        <v>6</v>
      </c>
      <c r="F182" t="str">
        <f>IFERROR(VLOOKUP(tblVendas[[#This Row],[id_produto]], tblProdutos[], 2, 0), "Produto não cadastrado")</f>
        <v>Jaqueta</v>
      </c>
      <c r="G182" s="3">
        <f>IFERROR(VLOOKUP(tblVendas[[#This Row],[id_produto]], tblProdutos[], 4, 0), "Produto não cadastrado")</f>
        <v>163</v>
      </c>
      <c r="H182" s="6" t="str">
        <f>IFERROR(VLOOKUP(tblVendas[[#This Row],[id_produto]], tblProdutos[], 3, 0), "Produto não cadastrado")</f>
        <v>Calçados</v>
      </c>
      <c r="I182" s="3">
        <f>tblVendas[[#This Row],[quantidade]]*tblVendas[[#This Row],[preco_unitario]]</f>
        <v>815</v>
      </c>
      <c r="J182" t="str">
        <f>_xlfn.XLOOKUP(tblVendas[[#This Row],[id_produto]], tblProdutos[id_produto], tblProdutos[nome_produto], "Não encontrado")</f>
        <v>Jaqueta</v>
      </c>
      <c r="K182" t="str">
        <f>_xlfn.XLOOKUP(tblVendas[[#This Row],[vendedor]], tblVendedores[vendedor], tblVendedores[regiao], "Não encontrado")</f>
        <v>Centro-Oeste</v>
      </c>
      <c r="L182">
        <f>MATCH(tblVendas[[#This Row],[id_produto]], tblProdutos[id_produto])</f>
        <v>7</v>
      </c>
      <c r="M182" s="2" t="str" cm="1">
        <f t="array" ref="M182">INDEX(tblProdutos[nome_produto], tblVendas[[#This Row],[posicao]])</f>
        <v>Jaqueta</v>
      </c>
      <c r="N182" s="2" t="str">
        <f>INDEX(tblProdutos[nome_produto], MATCH(tblVendas[[#This Row],[id_produto]], tblProdutos[id_produto]))</f>
        <v>Jaqueta</v>
      </c>
    </row>
    <row r="183" spans="1:14" x14ac:dyDescent="0.25">
      <c r="A183">
        <v>182</v>
      </c>
      <c r="B183">
        <v>5</v>
      </c>
      <c r="C183">
        <v>1</v>
      </c>
      <c r="D183" s="1">
        <v>45473</v>
      </c>
      <c r="E183" s="2" t="s">
        <v>6</v>
      </c>
      <c r="F183" t="str">
        <f>IFERROR(VLOOKUP(tblVendas[[#This Row],[id_produto]], tblProdutos[], 2, 0), "Produto não cadastrado")</f>
        <v>Moletom</v>
      </c>
      <c r="G183" s="3">
        <f>IFERROR(VLOOKUP(tblVendas[[#This Row],[id_produto]], tblProdutos[], 4, 0), "Produto não cadastrado")</f>
        <v>75</v>
      </c>
      <c r="H183" s="6" t="str">
        <f>IFERROR(VLOOKUP(tblVendas[[#This Row],[id_produto]], tblProdutos[], 3, 0), "Produto não cadastrado")</f>
        <v>Calçados</v>
      </c>
      <c r="I183" s="3">
        <f>tblVendas[[#This Row],[quantidade]]*tblVendas[[#This Row],[preco_unitario]]</f>
        <v>75</v>
      </c>
      <c r="J183" t="str">
        <f>_xlfn.XLOOKUP(tblVendas[[#This Row],[id_produto]], tblProdutos[id_produto], tblProdutos[nome_produto], "Não encontrado")</f>
        <v>Moletom</v>
      </c>
      <c r="K183" t="str">
        <f>_xlfn.XLOOKUP(tblVendas[[#This Row],[vendedor]], tblVendedores[vendedor], tblVendedores[regiao], "Não encontrado")</f>
        <v>Centro-Oeste</v>
      </c>
      <c r="L183">
        <f>MATCH(tblVendas[[#This Row],[id_produto]], tblProdutos[id_produto])</f>
        <v>5</v>
      </c>
      <c r="M183" s="2" t="str" cm="1">
        <f t="array" ref="M183">INDEX(tblProdutos[nome_produto], tblVendas[[#This Row],[posicao]])</f>
        <v>Moletom</v>
      </c>
      <c r="N183" s="2" t="str">
        <f>INDEX(tblProdutos[nome_produto], MATCH(tblVendas[[#This Row],[id_produto]], tblProdutos[id_produto]))</f>
        <v>Moletom</v>
      </c>
    </row>
    <row r="184" spans="1:14" x14ac:dyDescent="0.25">
      <c r="A184">
        <v>183</v>
      </c>
      <c r="B184">
        <v>1</v>
      </c>
      <c r="C184">
        <v>7</v>
      </c>
      <c r="D184" s="1">
        <v>45474</v>
      </c>
      <c r="E184" s="2" t="s">
        <v>6</v>
      </c>
      <c r="F184" t="str">
        <f>IFERROR(VLOOKUP(tblVendas[[#This Row],[id_produto]], tblProdutos[], 2, 0), "Produto não cadastrado")</f>
        <v>Camiseta</v>
      </c>
      <c r="G184" s="3">
        <f>IFERROR(VLOOKUP(tblVendas[[#This Row],[id_produto]], tblProdutos[], 4, 0), "Produto não cadastrado")</f>
        <v>174</v>
      </c>
      <c r="H184" s="6" t="str">
        <f>IFERROR(VLOOKUP(tblVendas[[#This Row],[id_produto]], tblProdutos[], 3, 0), "Produto não cadastrado")</f>
        <v>Calçados</v>
      </c>
      <c r="I184" s="3">
        <f>tblVendas[[#This Row],[quantidade]]*tblVendas[[#This Row],[preco_unitario]]</f>
        <v>1218</v>
      </c>
      <c r="J184" t="str">
        <f>_xlfn.XLOOKUP(tblVendas[[#This Row],[id_produto]], tblProdutos[id_produto], tblProdutos[nome_produto], "Não encontrado")</f>
        <v>Camiseta</v>
      </c>
      <c r="K184" t="str">
        <f>_xlfn.XLOOKUP(tblVendas[[#This Row],[vendedor]], tblVendedores[vendedor], tblVendedores[regiao], "Não encontrado")</f>
        <v>Centro-Oeste</v>
      </c>
      <c r="L184">
        <f>MATCH(tblVendas[[#This Row],[id_produto]], tblProdutos[id_produto])</f>
        <v>1</v>
      </c>
      <c r="M184" s="2" t="str" cm="1">
        <f t="array" ref="M184">INDEX(tblProdutos[nome_produto], tblVendas[[#This Row],[posicao]])</f>
        <v>Camiseta</v>
      </c>
      <c r="N184" s="2" t="str">
        <f>INDEX(tblProdutos[nome_produto], MATCH(tblVendas[[#This Row],[id_produto]], tblProdutos[id_produto]))</f>
        <v>Camiseta</v>
      </c>
    </row>
    <row r="185" spans="1:14" x14ac:dyDescent="0.25">
      <c r="A185">
        <v>184</v>
      </c>
      <c r="B185">
        <v>1</v>
      </c>
      <c r="C185">
        <v>5</v>
      </c>
      <c r="D185" s="1">
        <v>45475</v>
      </c>
      <c r="E185" s="2" t="s">
        <v>6</v>
      </c>
      <c r="F185" t="str">
        <f>IFERROR(VLOOKUP(tblVendas[[#This Row],[id_produto]], tblProdutos[], 2, 0), "Produto não cadastrado")</f>
        <v>Camiseta</v>
      </c>
      <c r="G185" s="3">
        <f>IFERROR(VLOOKUP(tblVendas[[#This Row],[id_produto]], tblProdutos[], 4, 0), "Produto não cadastrado")</f>
        <v>174</v>
      </c>
      <c r="H185" s="6" t="str">
        <f>IFERROR(VLOOKUP(tblVendas[[#This Row],[id_produto]], tblProdutos[], 3, 0), "Produto não cadastrado")</f>
        <v>Calçados</v>
      </c>
      <c r="I185" s="3">
        <f>tblVendas[[#This Row],[quantidade]]*tblVendas[[#This Row],[preco_unitario]]</f>
        <v>870</v>
      </c>
      <c r="J185" t="str">
        <f>_xlfn.XLOOKUP(tblVendas[[#This Row],[id_produto]], tblProdutos[id_produto], tblProdutos[nome_produto], "Não encontrado")</f>
        <v>Camiseta</v>
      </c>
      <c r="K185" t="str">
        <f>_xlfn.XLOOKUP(tblVendas[[#This Row],[vendedor]], tblVendedores[vendedor], tblVendedores[regiao], "Não encontrado")</f>
        <v>Centro-Oeste</v>
      </c>
      <c r="L185">
        <f>MATCH(tblVendas[[#This Row],[id_produto]], tblProdutos[id_produto])</f>
        <v>1</v>
      </c>
      <c r="M185" s="2" t="str" cm="1">
        <f t="array" ref="M185">INDEX(tblProdutos[nome_produto], tblVendas[[#This Row],[posicao]])</f>
        <v>Camiseta</v>
      </c>
      <c r="N185" s="2" t="str">
        <f>INDEX(tblProdutos[nome_produto], MATCH(tblVendas[[#This Row],[id_produto]], tblProdutos[id_produto]))</f>
        <v>Camiseta</v>
      </c>
    </row>
    <row r="186" spans="1:14" x14ac:dyDescent="0.25">
      <c r="A186">
        <v>185</v>
      </c>
      <c r="B186">
        <v>3</v>
      </c>
      <c r="C186">
        <v>6</v>
      </c>
      <c r="D186" s="1">
        <v>45476</v>
      </c>
      <c r="E186" s="2" t="s">
        <v>8</v>
      </c>
      <c r="F186" t="str">
        <f>IFERROR(VLOOKUP(tblVendas[[#This Row],[id_produto]], tblProdutos[], 2, 0), "Produto não cadastrado")</f>
        <v>Tênis</v>
      </c>
      <c r="G186" s="3">
        <f>IFERROR(VLOOKUP(tblVendas[[#This Row],[id_produto]], tblProdutos[], 4, 0), "Produto não cadastrado")</f>
        <v>186</v>
      </c>
      <c r="H186" s="6" t="str">
        <f>IFERROR(VLOOKUP(tblVendas[[#This Row],[id_produto]], tblProdutos[], 3, 0), "Produto não cadastrado")</f>
        <v>Vestuário</v>
      </c>
      <c r="I186" s="3">
        <f>tblVendas[[#This Row],[quantidade]]*tblVendas[[#This Row],[preco_unitario]]</f>
        <v>1116</v>
      </c>
      <c r="J186" t="str">
        <f>_xlfn.XLOOKUP(tblVendas[[#This Row],[id_produto]], tblProdutos[id_produto], tblProdutos[nome_produto], "Não encontrado")</f>
        <v>Tênis</v>
      </c>
      <c r="K186" t="str">
        <f>_xlfn.XLOOKUP(tblVendas[[#This Row],[vendedor]], tblVendedores[vendedor], tblVendedores[regiao], "Não encontrado")</f>
        <v>Nordeste</v>
      </c>
      <c r="L186">
        <f>MATCH(tblVendas[[#This Row],[id_produto]], tblProdutos[id_produto])</f>
        <v>3</v>
      </c>
      <c r="M186" s="2" t="str" cm="1">
        <f t="array" ref="M186">INDEX(tblProdutos[nome_produto], tblVendas[[#This Row],[posicao]])</f>
        <v>Tênis</v>
      </c>
      <c r="N186" s="2" t="str">
        <f>INDEX(tblProdutos[nome_produto], MATCH(tblVendas[[#This Row],[id_produto]], tblProdutos[id_produto]))</f>
        <v>Tênis</v>
      </c>
    </row>
    <row r="187" spans="1:14" x14ac:dyDescent="0.25">
      <c r="A187">
        <v>186</v>
      </c>
      <c r="B187">
        <v>2</v>
      </c>
      <c r="C187">
        <v>7</v>
      </c>
      <c r="D187" s="1">
        <v>45477</v>
      </c>
      <c r="E187" s="2" t="s">
        <v>7</v>
      </c>
      <c r="F187" t="str">
        <f>IFERROR(VLOOKUP(tblVendas[[#This Row],[id_produto]], tblProdutos[], 2, 0), "Produto não cadastrado")</f>
        <v>Calça Jeans</v>
      </c>
      <c r="G187" s="3">
        <f>IFERROR(VLOOKUP(tblVendas[[#This Row],[id_produto]], tblProdutos[], 4, 0), "Produto não cadastrado")</f>
        <v>190</v>
      </c>
      <c r="H187" s="6" t="str">
        <f>IFERROR(VLOOKUP(tblVendas[[#This Row],[id_produto]], tblProdutos[], 3, 0), "Produto não cadastrado")</f>
        <v>Calçados</v>
      </c>
      <c r="I187" s="3">
        <f>tblVendas[[#This Row],[quantidade]]*tblVendas[[#This Row],[preco_unitario]]</f>
        <v>1330</v>
      </c>
      <c r="J187" t="str">
        <f>_xlfn.XLOOKUP(tblVendas[[#This Row],[id_produto]], tblProdutos[id_produto], tblProdutos[nome_produto], "Não encontrado")</f>
        <v>Calça Jeans</v>
      </c>
      <c r="K187" t="str">
        <f>_xlfn.XLOOKUP(tblVendas[[#This Row],[vendedor]], tblVendedores[vendedor], tblVendedores[regiao], "Não encontrado")</f>
        <v>Norte</v>
      </c>
      <c r="L187">
        <f>MATCH(tblVendas[[#This Row],[id_produto]], tblProdutos[id_produto])</f>
        <v>2</v>
      </c>
      <c r="M187" s="2" t="str" cm="1">
        <f t="array" ref="M187">INDEX(tblProdutos[nome_produto], tblVendas[[#This Row],[posicao]])</f>
        <v>Calça Jeans</v>
      </c>
      <c r="N187" s="2" t="str">
        <f>INDEX(tblProdutos[nome_produto], MATCH(tblVendas[[#This Row],[id_produto]], tblProdutos[id_produto]))</f>
        <v>Calça Jeans</v>
      </c>
    </row>
    <row r="188" spans="1:14" x14ac:dyDescent="0.25">
      <c r="A188">
        <v>187</v>
      </c>
      <c r="B188">
        <v>5</v>
      </c>
      <c r="C188">
        <v>3</v>
      </c>
      <c r="D188" s="1">
        <v>45478</v>
      </c>
      <c r="E188" s="2" t="s">
        <v>6</v>
      </c>
      <c r="F188" t="str">
        <f>IFERROR(VLOOKUP(tblVendas[[#This Row],[id_produto]], tblProdutos[], 2, 0), "Produto não cadastrado")</f>
        <v>Moletom</v>
      </c>
      <c r="G188" s="3">
        <f>IFERROR(VLOOKUP(tblVendas[[#This Row],[id_produto]], tblProdutos[], 4, 0), "Produto não cadastrado")</f>
        <v>75</v>
      </c>
      <c r="H188" s="6" t="str">
        <f>IFERROR(VLOOKUP(tblVendas[[#This Row],[id_produto]], tblProdutos[], 3, 0), "Produto não cadastrado")</f>
        <v>Calçados</v>
      </c>
      <c r="I188" s="3">
        <f>tblVendas[[#This Row],[quantidade]]*tblVendas[[#This Row],[preco_unitario]]</f>
        <v>225</v>
      </c>
      <c r="J188" t="str">
        <f>_xlfn.XLOOKUP(tblVendas[[#This Row],[id_produto]], tblProdutos[id_produto], tblProdutos[nome_produto], "Não encontrado")</f>
        <v>Moletom</v>
      </c>
      <c r="K188" t="str">
        <f>_xlfn.XLOOKUP(tblVendas[[#This Row],[vendedor]], tblVendedores[vendedor], tblVendedores[regiao], "Não encontrado")</f>
        <v>Centro-Oeste</v>
      </c>
      <c r="L188">
        <f>MATCH(tblVendas[[#This Row],[id_produto]], tblProdutos[id_produto])</f>
        <v>5</v>
      </c>
      <c r="M188" s="2" t="str" cm="1">
        <f t="array" ref="M188">INDEX(tblProdutos[nome_produto], tblVendas[[#This Row],[posicao]])</f>
        <v>Moletom</v>
      </c>
      <c r="N188" s="2" t="str">
        <f>INDEX(tblProdutos[nome_produto], MATCH(tblVendas[[#This Row],[id_produto]], tblProdutos[id_produto]))</f>
        <v>Moletom</v>
      </c>
    </row>
    <row r="189" spans="1:14" x14ac:dyDescent="0.25">
      <c r="A189">
        <v>188</v>
      </c>
      <c r="B189">
        <v>10</v>
      </c>
      <c r="C189">
        <v>3</v>
      </c>
      <c r="D189" s="1">
        <v>45479</v>
      </c>
      <c r="E189" s="2" t="s">
        <v>7</v>
      </c>
      <c r="F189" t="str">
        <f>IFERROR(VLOOKUP(tblVendas[[#This Row],[id_produto]], tblProdutos[], 2, 0), "Produto não cadastrado")</f>
        <v>Cinto</v>
      </c>
      <c r="G189" s="3">
        <f>IFERROR(VLOOKUP(tblVendas[[#This Row],[id_produto]], tblProdutos[], 4, 0), "Produto não cadastrado")</f>
        <v>76</v>
      </c>
      <c r="H189" s="6" t="str">
        <f>IFERROR(VLOOKUP(tblVendas[[#This Row],[id_produto]], tblProdutos[], 3, 0), "Produto não cadastrado")</f>
        <v>Acessórios</v>
      </c>
      <c r="I189" s="3">
        <f>tblVendas[[#This Row],[quantidade]]*tblVendas[[#This Row],[preco_unitario]]</f>
        <v>228</v>
      </c>
      <c r="J189" t="str">
        <f>_xlfn.XLOOKUP(tblVendas[[#This Row],[id_produto]], tblProdutos[id_produto], tblProdutos[nome_produto], "Não encontrado")</f>
        <v>Cinto</v>
      </c>
      <c r="K189" t="str">
        <f>_xlfn.XLOOKUP(tblVendas[[#This Row],[vendedor]], tblVendedores[vendedor], tblVendedores[regiao], "Não encontrado")</f>
        <v>Norte</v>
      </c>
      <c r="L189">
        <f>MATCH(tblVendas[[#This Row],[id_produto]], tblProdutos[id_produto])</f>
        <v>10</v>
      </c>
      <c r="M189" s="2" t="str" cm="1">
        <f t="array" ref="M189">INDEX(tblProdutos[nome_produto], tblVendas[[#This Row],[posicao]])</f>
        <v>Cinto</v>
      </c>
      <c r="N189" s="2" t="str">
        <f>INDEX(tblProdutos[nome_produto], MATCH(tblVendas[[#This Row],[id_produto]], tblProdutos[id_produto]))</f>
        <v>Cinto</v>
      </c>
    </row>
    <row r="190" spans="1:14" x14ac:dyDescent="0.25">
      <c r="A190">
        <v>189</v>
      </c>
      <c r="B190">
        <v>6</v>
      </c>
      <c r="C190">
        <v>5</v>
      </c>
      <c r="D190" s="1">
        <v>45480</v>
      </c>
      <c r="E190" s="2" t="s">
        <v>8</v>
      </c>
      <c r="F190" t="str">
        <f>IFERROR(VLOOKUP(tblVendas[[#This Row],[id_produto]], tblProdutos[], 2, 0), "Produto não cadastrado")</f>
        <v>Bermuda</v>
      </c>
      <c r="G190" s="3">
        <f>IFERROR(VLOOKUP(tblVendas[[#This Row],[id_produto]], tblProdutos[], 4, 0), "Produto não cadastrado")</f>
        <v>64</v>
      </c>
      <c r="H190" s="6" t="str">
        <f>IFERROR(VLOOKUP(tblVendas[[#This Row],[id_produto]], tblProdutos[], 3, 0), "Produto não cadastrado")</f>
        <v>Calçados</v>
      </c>
      <c r="I190" s="3">
        <f>tblVendas[[#This Row],[quantidade]]*tblVendas[[#This Row],[preco_unitario]]</f>
        <v>320</v>
      </c>
      <c r="J190" t="str">
        <f>_xlfn.XLOOKUP(tblVendas[[#This Row],[id_produto]], tblProdutos[id_produto], tblProdutos[nome_produto], "Não encontrado")</f>
        <v>Bermuda</v>
      </c>
      <c r="K190" t="str">
        <f>_xlfn.XLOOKUP(tblVendas[[#This Row],[vendedor]], tblVendedores[vendedor], tblVendedores[regiao], "Não encontrado")</f>
        <v>Nordeste</v>
      </c>
      <c r="L190">
        <f>MATCH(tblVendas[[#This Row],[id_produto]], tblProdutos[id_produto])</f>
        <v>6</v>
      </c>
      <c r="M190" s="2" t="str" cm="1">
        <f t="array" ref="M190">INDEX(tblProdutos[nome_produto], tblVendas[[#This Row],[posicao]])</f>
        <v>Bermuda</v>
      </c>
      <c r="N190" s="2" t="str">
        <f>INDEX(tblProdutos[nome_produto], MATCH(tblVendas[[#This Row],[id_produto]], tblProdutos[id_produto]))</f>
        <v>Bermuda</v>
      </c>
    </row>
    <row r="191" spans="1:14" x14ac:dyDescent="0.25">
      <c r="A191">
        <v>190</v>
      </c>
      <c r="B191">
        <v>7</v>
      </c>
      <c r="C191">
        <v>6</v>
      </c>
      <c r="D191" s="1">
        <v>45481</v>
      </c>
      <c r="E191" s="2" t="s">
        <v>8</v>
      </c>
      <c r="F191" t="str">
        <f>IFERROR(VLOOKUP(tblVendas[[#This Row],[id_produto]], tblProdutos[], 2, 0), "Produto não cadastrado")</f>
        <v>Jaqueta</v>
      </c>
      <c r="G191" s="3">
        <f>IFERROR(VLOOKUP(tblVendas[[#This Row],[id_produto]], tblProdutos[], 4, 0), "Produto não cadastrado")</f>
        <v>163</v>
      </c>
      <c r="H191" s="6" t="str">
        <f>IFERROR(VLOOKUP(tblVendas[[#This Row],[id_produto]], tblProdutos[], 3, 0), "Produto não cadastrado")</f>
        <v>Calçados</v>
      </c>
      <c r="I191" s="3">
        <f>tblVendas[[#This Row],[quantidade]]*tblVendas[[#This Row],[preco_unitario]]</f>
        <v>978</v>
      </c>
      <c r="J191" t="str">
        <f>_xlfn.XLOOKUP(tblVendas[[#This Row],[id_produto]], tblProdutos[id_produto], tblProdutos[nome_produto], "Não encontrado")</f>
        <v>Jaqueta</v>
      </c>
      <c r="K191" t="str">
        <f>_xlfn.XLOOKUP(tblVendas[[#This Row],[vendedor]], tblVendedores[vendedor], tblVendedores[regiao], "Não encontrado")</f>
        <v>Nordeste</v>
      </c>
      <c r="L191">
        <f>MATCH(tblVendas[[#This Row],[id_produto]], tblProdutos[id_produto])</f>
        <v>7</v>
      </c>
      <c r="M191" s="2" t="str" cm="1">
        <f t="array" ref="M191">INDEX(tblProdutos[nome_produto], tblVendas[[#This Row],[posicao]])</f>
        <v>Jaqueta</v>
      </c>
      <c r="N191" s="2" t="str">
        <f>INDEX(tblProdutos[nome_produto], MATCH(tblVendas[[#This Row],[id_produto]], tblProdutos[id_produto]))</f>
        <v>Jaqueta</v>
      </c>
    </row>
    <row r="192" spans="1:14" x14ac:dyDescent="0.25">
      <c r="A192">
        <v>191</v>
      </c>
      <c r="B192">
        <v>4</v>
      </c>
      <c r="C192">
        <v>9</v>
      </c>
      <c r="D192" s="1">
        <v>45482</v>
      </c>
      <c r="E192" s="2" t="s">
        <v>7</v>
      </c>
      <c r="F192" t="str">
        <f>IFERROR(VLOOKUP(tblVendas[[#This Row],[id_produto]], tblProdutos[], 2, 0), "Produto não cadastrado")</f>
        <v>Boné</v>
      </c>
      <c r="G192" s="3">
        <f>IFERROR(VLOOKUP(tblVendas[[#This Row],[id_produto]], tblProdutos[], 4, 0), "Produto não cadastrado")</f>
        <v>170</v>
      </c>
      <c r="H192" s="6" t="str">
        <f>IFERROR(VLOOKUP(tblVendas[[#This Row],[id_produto]], tblProdutos[], 3, 0), "Produto não cadastrado")</f>
        <v>Calçados</v>
      </c>
      <c r="I192" s="3">
        <f>tblVendas[[#This Row],[quantidade]]*tblVendas[[#This Row],[preco_unitario]]</f>
        <v>1530</v>
      </c>
      <c r="J192" t="str">
        <f>_xlfn.XLOOKUP(tblVendas[[#This Row],[id_produto]], tblProdutos[id_produto], tblProdutos[nome_produto], "Não encontrado")</f>
        <v>Boné</v>
      </c>
      <c r="K192" t="str">
        <f>_xlfn.XLOOKUP(tblVendas[[#This Row],[vendedor]], tblVendedores[vendedor], tblVendedores[regiao], "Não encontrado")</f>
        <v>Norte</v>
      </c>
      <c r="L192">
        <f>MATCH(tblVendas[[#This Row],[id_produto]], tblProdutos[id_produto])</f>
        <v>4</v>
      </c>
      <c r="M192" s="2" t="str" cm="1">
        <f t="array" ref="M192">INDEX(tblProdutos[nome_produto], tblVendas[[#This Row],[posicao]])</f>
        <v>Boné</v>
      </c>
      <c r="N192" s="2" t="str">
        <f>INDEX(tblProdutos[nome_produto], MATCH(tblVendas[[#This Row],[id_produto]], tblProdutos[id_produto]))</f>
        <v>Boné</v>
      </c>
    </row>
    <row r="193" spans="1:14" x14ac:dyDescent="0.25">
      <c r="A193">
        <v>192</v>
      </c>
      <c r="B193">
        <v>7</v>
      </c>
      <c r="C193">
        <v>5</v>
      </c>
      <c r="D193" s="1">
        <v>45483</v>
      </c>
      <c r="E193" s="2" t="s">
        <v>9</v>
      </c>
      <c r="F193" t="str">
        <f>IFERROR(VLOOKUP(tblVendas[[#This Row],[id_produto]], tblProdutos[], 2, 0), "Produto não cadastrado")</f>
        <v>Jaqueta</v>
      </c>
      <c r="G193" s="3">
        <f>IFERROR(VLOOKUP(tblVendas[[#This Row],[id_produto]], tblProdutos[], 4, 0), "Produto não cadastrado")</f>
        <v>163</v>
      </c>
      <c r="H193" s="6" t="str">
        <f>IFERROR(VLOOKUP(tblVendas[[#This Row],[id_produto]], tblProdutos[], 3, 0), "Produto não cadastrado")</f>
        <v>Calçados</v>
      </c>
      <c r="I193" s="3">
        <f>tblVendas[[#This Row],[quantidade]]*tblVendas[[#This Row],[preco_unitario]]</f>
        <v>815</v>
      </c>
      <c r="J193" t="str">
        <f>_xlfn.XLOOKUP(tblVendas[[#This Row],[id_produto]], tblProdutos[id_produto], tblProdutos[nome_produto], "Não encontrado")</f>
        <v>Jaqueta</v>
      </c>
      <c r="K193" t="str">
        <f>_xlfn.XLOOKUP(tblVendas[[#This Row],[vendedor]], tblVendedores[vendedor], tblVendedores[regiao], "Não encontrado")</f>
        <v>Sul</v>
      </c>
      <c r="L193">
        <f>MATCH(tblVendas[[#This Row],[id_produto]], tblProdutos[id_produto])</f>
        <v>7</v>
      </c>
      <c r="M193" s="2" t="str" cm="1">
        <f t="array" ref="M193">INDEX(tblProdutos[nome_produto], tblVendas[[#This Row],[posicao]])</f>
        <v>Jaqueta</v>
      </c>
      <c r="N193" s="2" t="str">
        <f>INDEX(tblProdutos[nome_produto], MATCH(tblVendas[[#This Row],[id_produto]], tblProdutos[id_produto]))</f>
        <v>Jaqueta</v>
      </c>
    </row>
    <row r="194" spans="1:14" x14ac:dyDescent="0.25">
      <c r="A194">
        <v>193</v>
      </c>
      <c r="B194">
        <v>8</v>
      </c>
      <c r="C194">
        <v>1</v>
      </c>
      <c r="D194" s="1">
        <v>45484</v>
      </c>
      <c r="E194" s="2" t="s">
        <v>5</v>
      </c>
      <c r="F194" t="str">
        <f>IFERROR(VLOOKUP(tblVendas[[#This Row],[id_produto]], tblProdutos[], 2, 0), "Produto não cadastrado")</f>
        <v>Regata</v>
      </c>
      <c r="G194" s="3">
        <f>IFERROR(VLOOKUP(tblVendas[[#This Row],[id_produto]], tblProdutos[], 4, 0), "Produto não cadastrado")</f>
        <v>111</v>
      </c>
      <c r="H194" s="6" t="str">
        <f>IFERROR(VLOOKUP(tblVendas[[#This Row],[id_produto]], tblProdutos[], 3, 0), "Produto não cadastrado")</f>
        <v>Vestuário</v>
      </c>
      <c r="I194" s="3">
        <f>tblVendas[[#This Row],[quantidade]]*tblVendas[[#This Row],[preco_unitario]]</f>
        <v>111</v>
      </c>
      <c r="J194" t="str">
        <f>_xlfn.XLOOKUP(tblVendas[[#This Row],[id_produto]], tblProdutos[id_produto], tblProdutos[nome_produto], "Não encontrado")</f>
        <v>Regata</v>
      </c>
      <c r="K194" t="str">
        <f>_xlfn.XLOOKUP(tblVendas[[#This Row],[vendedor]], tblVendedores[vendedor], tblVendedores[regiao], "Não encontrado")</f>
        <v>Sudeste</v>
      </c>
      <c r="L194">
        <f>MATCH(tblVendas[[#This Row],[id_produto]], tblProdutos[id_produto])</f>
        <v>8</v>
      </c>
      <c r="M194" s="2" t="str" cm="1">
        <f t="array" ref="M194">INDEX(tblProdutos[nome_produto], tblVendas[[#This Row],[posicao]])</f>
        <v>Regata</v>
      </c>
      <c r="N194" s="2" t="str">
        <f>INDEX(tblProdutos[nome_produto], MATCH(tblVendas[[#This Row],[id_produto]], tblProdutos[id_produto]))</f>
        <v>Regata</v>
      </c>
    </row>
    <row r="195" spans="1:14" x14ac:dyDescent="0.25">
      <c r="A195">
        <v>194</v>
      </c>
      <c r="B195">
        <v>1</v>
      </c>
      <c r="C195">
        <v>4</v>
      </c>
      <c r="D195" s="1">
        <v>45485</v>
      </c>
      <c r="E195" s="2" t="s">
        <v>9</v>
      </c>
      <c r="F195" t="str">
        <f>IFERROR(VLOOKUP(tblVendas[[#This Row],[id_produto]], tblProdutos[], 2, 0), "Produto não cadastrado")</f>
        <v>Camiseta</v>
      </c>
      <c r="G195" s="3">
        <f>IFERROR(VLOOKUP(tblVendas[[#This Row],[id_produto]], tblProdutos[], 4, 0), "Produto não cadastrado")</f>
        <v>174</v>
      </c>
      <c r="H195" s="6" t="str">
        <f>IFERROR(VLOOKUP(tblVendas[[#This Row],[id_produto]], tblProdutos[], 3, 0), "Produto não cadastrado")</f>
        <v>Calçados</v>
      </c>
      <c r="I195" s="3">
        <f>tblVendas[[#This Row],[quantidade]]*tblVendas[[#This Row],[preco_unitario]]</f>
        <v>696</v>
      </c>
      <c r="J195" t="str">
        <f>_xlfn.XLOOKUP(tblVendas[[#This Row],[id_produto]], tblProdutos[id_produto], tblProdutos[nome_produto], "Não encontrado")</f>
        <v>Camiseta</v>
      </c>
      <c r="K195" t="str">
        <f>_xlfn.XLOOKUP(tblVendas[[#This Row],[vendedor]], tblVendedores[vendedor], tblVendedores[regiao], "Não encontrado")</f>
        <v>Sul</v>
      </c>
      <c r="L195">
        <f>MATCH(tblVendas[[#This Row],[id_produto]], tblProdutos[id_produto])</f>
        <v>1</v>
      </c>
      <c r="M195" s="2" t="str" cm="1">
        <f t="array" ref="M195">INDEX(tblProdutos[nome_produto], tblVendas[[#This Row],[posicao]])</f>
        <v>Camiseta</v>
      </c>
      <c r="N195" s="2" t="str">
        <f>INDEX(tblProdutos[nome_produto], MATCH(tblVendas[[#This Row],[id_produto]], tblProdutos[id_produto]))</f>
        <v>Camiseta</v>
      </c>
    </row>
    <row r="196" spans="1:14" x14ac:dyDescent="0.25">
      <c r="A196">
        <v>195</v>
      </c>
      <c r="B196">
        <v>6</v>
      </c>
      <c r="C196">
        <v>5</v>
      </c>
      <c r="D196" s="1">
        <v>45486</v>
      </c>
      <c r="E196" s="2" t="s">
        <v>9</v>
      </c>
      <c r="F196" t="str">
        <f>IFERROR(VLOOKUP(tblVendas[[#This Row],[id_produto]], tblProdutos[], 2, 0), "Produto não cadastrado")</f>
        <v>Bermuda</v>
      </c>
      <c r="G196" s="3">
        <f>IFERROR(VLOOKUP(tblVendas[[#This Row],[id_produto]], tblProdutos[], 4, 0), "Produto não cadastrado")</f>
        <v>64</v>
      </c>
      <c r="H196" s="6" t="str">
        <f>IFERROR(VLOOKUP(tblVendas[[#This Row],[id_produto]], tblProdutos[], 3, 0), "Produto não cadastrado")</f>
        <v>Calçados</v>
      </c>
      <c r="I196" s="3">
        <f>tblVendas[[#This Row],[quantidade]]*tblVendas[[#This Row],[preco_unitario]]</f>
        <v>320</v>
      </c>
      <c r="J196" t="str">
        <f>_xlfn.XLOOKUP(tblVendas[[#This Row],[id_produto]], tblProdutos[id_produto], tblProdutos[nome_produto], "Não encontrado")</f>
        <v>Bermuda</v>
      </c>
      <c r="K196" t="str">
        <f>_xlfn.XLOOKUP(tblVendas[[#This Row],[vendedor]], tblVendedores[vendedor], tblVendedores[regiao], "Não encontrado")</f>
        <v>Sul</v>
      </c>
      <c r="L196">
        <f>MATCH(tblVendas[[#This Row],[id_produto]], tblProdutos[id_produto])</f>
        <v>6</v>
      </c>
      <c r="M196" s="2" t="str" cm="1">
        <f t="array" ref="M196">INDEX(tblProdutos[nome_produto], tblVendas[[#This Row],[posicao]])</f>
        <v>Bermuda</v>
      </c>
      <c r="N196" s="2" t="str">
        <f>INDEX(tblProdutos[nome_produto], MATCH(tblVendas[[#This Row],[id_produto]], tblProdutos[id_produto]))</f>
        <v>Bermuda</v>
      </c>
    </row>
    <row r="197" spans="1:14" x14ac:dyDescent="0.25">
      <c r="A197">
        <v>196</v>
      </c>
      <c r="B197">
        <v>8</v>
      </c>
      <c r="C197">
        <v>5</v>
      </c>
      <c r="D197" s="1">
        <v>45487</v>
      </c>
      <c r="E197" s="2" t="s">
        <v>9</v>
      </c>
      <c r="F197" t="str">
        <f>IFERROR(VLOOKUP(tblVendas[[#This Row],[id_produto]], tblProdutos[], 2, 0), "Produto não cadastrado")</f>
        <v>Regata</v>
      </c>
      <c r="G197" s="3">
        <f>IFERROR(VLOOKUP(tblVendas[[#This Row],[id_produto]], tblProdutos[], 4, 0), "Produto não cadastrado")</f>
        <v>111</v>
      </c>
      <c r="H197" s="6" t="str">
        <f>IFERROR(VLOOKUP(tblVendas[[#This Row],[id_produto]], tblProdutos[], 3, 0), "Produto não cadastrado")</f>
        <v>Vestuário</v>
      </c>
      <c r="I197" s="3">
        <f>tblVendas[[#This Row],[quantidade]]*tblVendas[[#This Row],[preco_unitario]]</f>
        <v>555</v>
      </c>
      <c r="J197" t="str">
        <f>_xlfn.XLOOKUP(tblVendas[[#This Row],[id_produto]], tblProdutos[id_produto], tblProdutos[nome_produto], "Não encontrado")</f>
        <v>Regata</v>
      </c>
      <c r="K197" t="str">
        <f>_xlfn.XLOOKUP(tblVendas[[#This Row],[vendedor]], tblVendedores[vendedor], tblVendedores[regiao], "Não encontrado")</f>
        <v>Sul</v>
      </c>
      <c r="L197">
        <f>MATCH(tblVendas[[#This Row],[id_produto]], tblProdutos[id_produto])</f>
        <v>8</v>
      </c>
      <c r="M197" s="2" t="str" cm="1">
        <f t="array" ref="M197">INDEX(tblProdutos[nome_produto], tblVendas[[#This Row],[posicao]])</f>
        <v>Regata</v>
      </c>
      <c r="N197" s="2" t="str">
        <f>INDEX(tblProdutos[nome_produto], MATCH(tblVendas[[#This Row],[id_produto]], tblProdutos[id_produto]))</f>
        <v>Regata</v>
      </c>
    </row>
    <row r="198" spans="1:14" x14ac:dyDescent="0.25">
      <c r="A198">
        <v>197</v>
      </c>
      <c r="B198">
        <v>5</v>
      </c>
      <c r="C198">
        <v>7</v>
      </c>
      <c r="D198" s="1">
        <v>45488</v>
      </c>
      <c r="E198" s="2" t="s">
        <v>6</v>
      </c>
      <c r="F198" t="str">
        <f>IFERROR(VLOOKUP(tblVendas[[#This Row],[id_produto]], tblProdutos[], 2, 0), "Produto não cadastrado")</f>
        <v>Moletom</v>
      </c>
      <c r="G198" s="3">
        <f>IFERROR(VLOOKUP(tblVendas[[#This Row],[id_produto]], tblProdutos[], 4, 0), "Produto não cadastrado")</f>
        <v>75</v>
      </c>
      <c r="H198" s="6" t="str">
        <f>IFERROR(VLOOKUP(tblVendas[[#This Row],[id_produto]], tblProdutos[], 3, 0), "Produto não cadastrado")</f>
        <v>Calçados</v>
      </c>
      <c r="I198" s="3">
        <f>tblVendas[[#This Row],[quantidade]]*tblVendas[[#This Row],[preco_unitario]]</f>
        <v>525</v>
      </c>
      <c r="J198" t="str">
        <f>_xlfn.XLOOKUP(tblVendas[[#This Row],[id_produto]], tblProdutos[id_produto], tblProdutos[nome_produto], "Não encontrado")</f>
        <v>Moletom</v>
      </c>
      <c r="K198" t="str">
        <f>_xlfn.XLOOKUP(tblVendas[[#This Row],[vendedor]], tblVendedores[vendedor], tblVendedores[regiao], "Não encontrado")</f>
        <v>Centro-Oeste</v>
      </c>
      <c r="L198">
        <f>MATCH(tblVendas[[#This Row],[id_produto]], tblProdutos[id_produto])</f>
        <v>5</v>
      </c>
      <c r="M198" s="2" t="str" cm="1">
        <f t="array" ref="M198">INDEX(tblProdutos[nome_produto], tblVendas[[#This Row],[posicao]])</f>
        <v>Moletom</v>
      </c>
      <c r="N198" s="2" t="str">
        <f>INDEX(tblProdutos[nome_produto], MATCH(tblVendas[[#This Row],[id_produto]], tblProdutos[id_produto]))</f>
        <v>Moletom</v>
      </c>
    </row>
    <row r="199" spans="1:14" x14ac:dyDescent="0.25">
      <c r="A199">
        <v>198</v>
      </c>
      <c r="B199">
        <v>4</v>
      </c>
      <c r="C199">
        <v>4</v>
      </c>
      <c r="D199" s="1">
        <v>45489</v>
      </c>
      <c r="E199" s="2" t="s">
        <v>8</v>
      </c>
      <c r="F199" t="str">
        <f>IFERROR(VLOOKUP(tblVendas[[#This Row],[id_produto]], tblProdutos[], 2, 0), "Produto não cadastrado")</f>
        <v>Boné</v>
      </c>
      <c r="G199" s="3">
        <f>IFERROR(VLOOKUP(tblVendas[[#This Row],[id_produto]], tblProdutos[], 4, 0), "Produto não cadastrado")</f>
        <v>170</v>
      </c>
      <c r="H199" s="6" t="str">
        <f>IFERROR(VLOOKUP(tblVendas[[#This Row],[id_produto]], tblProdutos[], 3, 0), "Produto não cadastrado")</f>
        <v>Calçados</v>
      </c>
      <c r="I199" s="3">
        <f>tblVendas[[#This Row],[quantidade]]*tblVendas[[#This Row],[preco_unitario]]</f>
        <v>680</v>
      </c>
      <c r="J199" t="str">
        <f>_xlfn.XLOOKUP(tblVendas[[#This Row],[id_produto]], tblProdutos[id_produto], tblProdutos[nome_produto], "Não encontrado")</f>
        <v>Boné</v>
      </c>
      <c r="K199" t="str">
        <f>_xlfn.XLOOKUP(tblVendas[[#This Row],[vendedor]], tblVendedores[vendedor], tblVendedores[regiao], "Não encontrado")</f>
        <v>Nordeste</v>
      </c>
      <c r="L199">
        <f>MATCH(tblVendas[[#This Row],[id_produto]], tblProdutos[id_produto])</f>
        <v>4</v>
      </c>
      <c r="M199" s="2" t="str" cm="1">
        <f t="array" ref="M199">INDEX(tblProdutos[nome_produto], tblVendas[[#This Row],[posicao]])</f>
        <v>Boné</v>
      </c>
      <c r="N199" s="2" t="str">
        <f>INDEX(tblProdutos[nome_produto], MATCH(tblVendas[[#This Row],[id_produto]], tblProdutos[id_produto]))</f>
        <v>Boné</v>
      </c>
    </row>
    <row r="200" spans="1:14" x14ac:dyDescent="0.25">
      <c r="A200">
        <v>199</v>
      </c>
      <c r="B200">
        <v>2</v>
      </c>
      <c r="C200">
        <v>1</v>
      </c>
      <c r="D200" s="1">
        <v>45490</v>
      </c>
      <c r="E200" s="2" t="s">
        <v>9</v>
      </c>
      <c r="F200" t="str">
        <f>IFERROR(VLOOKUP(tblVendas[[#This Row],[id_produto]], tblProdutos[], 2, 0), "Produto não cadastrado")</f>
        <v>Calça Jeans</v>
      </c>
      <c r="G200" s="3">
        <f>IFERROR(VLOOKUP(tblVendas[[#This Row],[id_produto]], tblProdutos[], 4, 0), "Produto não cadastrado")</f>
        <v>190</v>
      </c>
      <c r="H200" s="6" t="str">
        <f>IFERROR(VLOOKUP(tblVendas[[#This Row],[id_produto]], tblProdutos[], 3, 0), "Produto não cadastrado")</f>
        <v>Calçados</v>
      </c>
      <c r="I200" s="3">
        <f>tblVendas[[#This Row],[quantidade]]*tblVendas[[#This Row],[preco_unitario]]</f>
        <v>190</v>
      </c>
      <c r="J200" t="str">
        <f>_xlfn.XLOOKUP(tblVendas[[#This Row],[id_produto]], tblProdutos[id_produto], tblProdutos[nome_produto], "Não encontrado")</f>
        <v>Calça Jeans</v>
      </c>
      <c r="K200" t="str">
        <f>_xlfn.XLOOKUP(tblVendas[[#This Row],[vendedor]], tblVendedores[vendedor], tblVendedores[regiao], "Não encontrado")</f>
        <v>Sul</v>
      </c>
      <c r="L200">
        <f>MATCH(tblVendas[[#This Row],[id_produto]], tblProdutos[id_produto])</f>
        <v>2</v>
      </c>
      <c r="M200" s="2" t="str" cm="1">
        <f t="array" ref="M200">INDEX(tblProdutos[nome_produto], tblVendas[[#This Row],[posicao]])</f>
        <v>Calça Jeans</v>
      </c>
      <c r="N200" s="2" t="str">
        <f>INDEX(tblProdutos[nome_produto], MATCH(tblVendas[[#This Row],[id_produto]], tblProdutos[id_produto]))</f>
        <v>Calça Jeans</v>
      </c>
    </row>
    <row r="201" spans="1:14" x14ac:dyDescent="0.25">
      <c r="A201">
        <v>200</v>
      </c>
      <c r="B201">
        <v>6</v>
      </c>
      <c r="C201">
        <v>5</v>
      </c>
      <c r="D201" s="1">
        <v>45491</v>
      </c>
      <c r="E201" s="2" t="s">
        <v>8</v>
      </c>
      <c r="F201" t="str">
        <f>IFERROR(VLOOKUP(tblVendas[[#This Row],[id_produto]], tblProdutos[], 2, 0), "Produto não cadastrado")</f>
        <v>Bermuda</v>
      </c>
      <c r="G201" s="3">
        <f>IFERROR(VLOOKUP(tblVendas[[#This Row],[id_produto]], tblProdutos[], 4, 0), "Produto não cadastrado")</f>
        <v>64</v>
      </c>
      <c r="H201" s="6" t="str">
        <f>IFERROR(VLOOKUP(tblVendas[[#This Row],[id_produto]], tblProdutos[], 3, 0), "Produto não cadastrado")</f>
        <v>Calçados</v>
      </c>
      <c r="I201" s="3">
        <f>tblVendas[[#This Row],[quantidade]]*tblVendas[[#This Row],[preco_unitario]]</f>
        <v>320</v>
      </c>
      <c r="J201" t="str">
        <f>_xlfn.XLOOKUP(tblVendas[[#This Row],[id_produto]], tblProdutos[id_produto], tblProdutos[nome_produto], "Não encontrado")</f>
        <v>Bermuda</v>
      </c>
      <c r="K201" t="str">
        <f>_xlfn.XLOOKUP(tblVendas[[#This Row],[vendedor]], tblVendedores[vendedor], tblVendedores[regiao], "Não encontrado")</f>
        <v>Nordeste</v>
      </c>
      <c r="L201">
        <f>MATCH(tblVendas[[#This Row],[id_produto]], tblProdutos[id_produto])</f>
        <v>6</v>
      </c>
      <c r="M201" s="2" t="str" cm="1">
        <f t="array" ref="M201">INDEX(tblProdutos[nome_produto], tblVendas[[#This Row],[posicao]])</f>
        <v>Bermuda</v>
      </c>
      <c r="N201" s="2" t="str">
        <f>INDEX(tblProdutos[nome_produto], MATCH(tblVendas[[#This Row],[id_produto]], tblProdutos[id_produto]))</f>
        <v>Bermuda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208A-F4B7-44C7-AAE9-DE9E05E05CAE}">
  <dimension ref="A1:D6"/>
  <sheetViews>
    <sheetView workbookViewId="0"/>
  </sheetViews>
  <sheetFormatPr defaultRowHeight="15" x14ac:dyDescent="0.25"/>
  <cols>
    <col min="1" max="1" width="11.85546875" bestFit="1" customWidth="1"/>
    <col min="2" max="2" width="12.42578125" bestFit="1" customWidth="1"/>
    <col min="3" max="3" width="15.42578125" bestFit="1" customWidth="1"/>
    <col min="4" max="4" width="16.7109375" bestFit="1" customWidth="1"/>
  </cols>
  <sheetData>
    <row r="1" spans="1:4" x14ac:dyDescent="0.25">
      <c r="A1" t="s">
        <v>4</v>
      </c>
      <c r="B1" t="s">
        <v>27</v>
      </c>
      <c r="C1" t="s">
        <v>28</v>
      </c>
      <c r="D1" t="s">
        <v>29</v>
      </c>
    </row>
    <row r="2" spans="1:4" x14ac:dyDescent="0.25">
      <c r="A2" s="2" t="s">
        <v>9</v>
      </c>
      <c r="B2" s="2" t="s">
        <v>30</v>
      </c>
      <c r="C2">
        <v>5000</v>
      </c>
      <c r="D2" s="1">
        <v>43840</v>
      </c>
    </row>
    <row r="3" spans="1:4" x14ac:dyDescent="0.25">
      <c r="A3" s="2" t="s">
        <v>5</v>
      </c>
      <c r="B3" s="2" t="s">
        <v>31</v>
      </c>
      <c r="C3">
        <v>6000</v>
      </c>
      <c r="D3" s="1">
        <v>44270</v>
      </c>
    </row>
    <row r="4" spans="1:4" x14ac:dyDescent="0.25">
      <c r="A4" s="2" t="s">
        <v>8</v>
      </c>
      <c r="B4" s="2" t="s">
        <v>32</v>
      </c>
      <c r="C4">
        <v>4500</v>
      </c>
      <c r="D4" s="1">
        <v>43516</v>
      </c>
    </row>
    <row r="5" spans="1:4" x14ac:dyDescent="0.25">
      <c r="A5" s="2" t="s">
        <v>7</v>
      </c>
      <c r="B5" s="2" t="s">
        <v>33</v>
      </c>
      <c r="C5">
        <v>5500</v>
      </c>
      <c r="D5" s="1">
        <v>44747</v>
      </c>
    </row>
    <row r="6" spans="1:4" x14ac:dyDescent="0.25">
      <c r="A6" s="2" t="s">
        <v>6</v>
      </c>
      <c r="B6" s="2" t="s">
        <v>34</v>
      </c>
      <c r="C6">
        <v>7000</v>
      </c>
      <c r="D6" s="1">
        <v>43416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A8F3-7DD7-4A3E-9599-06D0488D6D9D}">
  <dimension ref="A1:E11"/>
  <sheetViews>
    <sheetView workbookViewId="0"/>
  </sheetViews>
  <sheetFormatPr defaultRowHeight="15" x14ac:dyDescent="0.25"/>
  <cols>
    <col min="1" max="1" width="13" bestFit="1" customWidth="1"/>
    <col min="2" max="2" width="16.5703125" bestFit="1" customWidth="1"/>
    <col min="3" max="3" width="11.5703125" bestFit="1" customWidth="1"/>
    <col min="4" max="4" width="16.42578125" bestFit="1" customWidth="1"/>
    <col min="5" max="5" width="16.28515625" bestFit="1" customWidth="1"/>
  </cols>
  <sheetData>
    <row r="1" spans="1:5" x14ac:dyDescent="0.25">
      <c r="A1" t="s">
        <v>1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>
        <v>1</v>
      </c>
      <c r="B2" s="2" t="s">
        <v>14</v>
      </c>
      <c r="C2" s="2" t="s">
        <v>15</v>
      </c>
      <c r="D2">
        <v>174</v>
      </c>
      <c r="E2">
        <v>39</v>
      </c>
    </row>
    <row r="3" spans="1:5" x14ac:dyDescent="0.25">
      <c r="A3">
        <v>2</v>
      </c>
      <c r="B3" s="2" t="s">
        <v>16</v>
      </c>
      <c r="C3" s="2" t="s">
        <v>15</v>
      </c>
      <c r="D3">
        <v>190</v>
      </c>
      <c r="E3">
        <v>80</v>
      </c>
    </row>
    <row r="4" spans="1:5" x14ac:dyDescent="0.25">
      <c r="A4">
        <v>3</v>
      </c>
      <c r="B4" s="2" t="s">
        <v>17</v>
      </c>
      <c r="C4" s="2" t="s">
        <v>18</v>
      </c>
      <c r="D4">
        <v>186</v>
      </c>
      <c r="E4">
        <v>24</v>
      </c>
    </row>
    <row r="5" spans="1:5" x14ac:dyDescent="0.25">
      <c r="A5">
        <v>4</v>
      </c>
      <c r="B5" s="2" t="s">
        <v>19</v>
      </c>
      <c r="C5" s="2" t="s">
        <v>15</v>
      </c>
      <c r="D5">
        <v>170</v>
      </c>
      <c r="E5">
        <v>70</v>
      </c>
    </row>
    <row r="6" spans="1:5" x14ac:dyDescent="0.25">
      <c r="A6">
        <v>5</v>
      </c>
      <c r="B6" s="2" t="s">
        <v>20</v>
      </c>
      <c r="C6" s="2" t="s">
        <v>15</v>
      </c>
      <c r="D6">
        <v>75</v>
      </c>
      <c r="E6">
        <v>44</v>
      </c>
    </row>
    <row r="7" spans="1:5" x14ac:dyDescent="0.25">
      <c r="A7">
        <v>6</v>
      </c>
      <c r="B7" s="2" t="s">
        <v>21</v>
      </c>
      <c r="C7" s="2" t="s">
        <v>15</v>
      </c>
      <c r="D7">
        <v>64</v>
      </c>
      <c r="E7">
        <v>19</v>
      </c>
    </row>
    <row r="8" spans="1:5" x14ac:dyDescent="0.25">
      <c r="A8">
        <v>7</v>
      </c>
      <c r="B8" s="2" t="s">
        <v>22</v>
      </c>
      <c r="C8" s="2" t="s">
        <v>15</v>
      </c>
      <c r="D8">
        <v>163</v>
      </c>
      <c r="E8">
        <v>47</v>
      </c>
    </row>
    <row r="9" spans="1:5" x14ac:dyDescent="0.25">
      <c r="A9">
        <v>8</v>
      </c>
      <c r="B9" s="2" t="s">
        <v>23</v>
      </c>
      <c r="C9" s="2" t="s">
        <v>18</v>
      </c>
      <c r="D9">
        <v>111</v>
      </c>
      <c r="E9">
        <v>79</v>
      </c>
    </row>
    <row r="10" spans="1:5" x14ac:dyDescent="0.25">
      <c r="A10">
        <v>9</v>
      </c>
      <c r="B10" s="2" t="s">
        <v>24</v>
      </c>
      <c r="C10" s="2" t="s">
        <v>18</v>
      </c>
      <c r="D10">
        <v>144</v>
      </c>
      <c r="E10">
        <v>32</v>
      </c>
    </row>
    <row r="11" spans="1:5" x14ac:dyDescent="0.25">
      <c r="A11">
        <v>10</v>
      </c>
      <c r="B11" s="2" t="s">
        <v>25</v>
      </c>
      <c r="C11" s="2" t="s">
        <v>26</v>
      </c>
      <c r="D11">
        <v>76</v>
      </c>
      <c r="E11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BC7A-5F6D-4375-A7FE-FA67FD993E9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480D4D-F530-49B0-BA2E-CBFD1D9EB4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</vt:lpstr>
      <vt:lpstr>vendedores</vt:lpstr>
      <vt:lpstr>produtos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</dc:creator>
  <cp:lastModifiedBy>code</cp:lastModifiedBy>
  <dcterms:created xsi:type="dcterms:W3CDTF">2026-05-27T13:33:14Z</dcterms:created>
  <dcterms:modified xsi:type="dcterms:W3CDTF">2026-05-27T15:25:52Z</dcterms:modified>
</cp:coreProperties>
</file>