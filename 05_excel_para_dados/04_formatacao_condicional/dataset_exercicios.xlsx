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e\Desktop\estudos-analise-dados\05_excel_para_dados\04_formatacao_condicional\"/>
    </mc:Choice>
  </mc:AlternateContent>
  <xr:revisionPtr revIDLastSave="0" documentId="8_{253FACED-D0DC-4D43-83D1-E516778B4C92}" xr6:coauthVersionLast="47" xr6:coauthVersionMax="47" xr10:uidLastSave="{00000000-0000-0000-0000-000000000000}"/>
  <bookViews>
    <workbookView xWindow="-120" yWindow="-120" windowWidth="29040" windowHeight="15870" activeTab="1" xr2:uid="{F44FAFAA-8C36-4424-939A-C9834A39ADF1}"/>
  </bookViews>
  <sheets>
    <sheet name="Planilha2" sheetId="2" r:id="rId1"/>
    <sheet name="Planilha1" sheetId="1" r:id="rId2"/>
  </sheets>
  <definedNames>
    <definedName name="DadosExternos_1" localSheetId="1" hidden="1">Planilha1!$A$1:$I$101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9" i="1" l="1"/>
  <c r="Q5" i="1"/>
  <c r="Q6" i="1"/>
  <c r="Q7" i="1"/>
  <c r="Q8" i="1"/>
  <c r="Q4" i="1"/>
  <c r="P9" i="1"/>
  <c r="P5" i="1"/>
  <c r="P6" i="1"/>
  <c r="P7" i="1"/>
  <c r="P8" i="1"/>
  <c r="P4" i="1"/>
  <c r="O9" i="1"/>
  <c r="O5" i="1"/>
  <c r="O6" i="1"/>
  <c r="O7" i="1"/>
  <c r="O8" i="1"/>
  <c r="O4" i="1"/>
  <c r="N9" i="1"/>
  <c r="M9" i="1"/>
  <c r="N5" i="1"/>
  <c r="N6" i="1"/>
  <c r="N7" i="1"/>
  <c r="N8" i="1"/>
  <c r="N4" i="1"/>
  <c r="M5" i="1"/>
  <c r="M6" i="1"/>
  <c r="M7" i="1"/>
  <c r="M8" i="1"/>
  <c r="M4" i="1"/>
  <c r="L6" i="1"/>
  <c r="L5" i="1"/>
  <c r="L8" i="1"/>
  <c r="L7" i="1"/>
  <c r="L4" i="1"/>
  <c r="L9" i="1" s="1"/>
  <c r="D8" i="2"/>
  <c r="D6" i="2"/>
  <c r="D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4A5AF4-FFF5-46DD-B597-E7F73BF2D0DB}" keepAlive="1" name="Consulta - vendas_metricas" description="Conexão com a consulta 'vendas_metricas' na pasta de trabalho." type="5" refreshedVersion="8" background="1" saveData="1">
    <dbPr connection="Provider=Microsoft.Mashup.OleDb.1;Data Source=$Workbook$;Location=vendas_metricas;Extended Properties=&quot;&quot;" command="SELECT * FROM [vendas_metricas]"/>
  </connection>
</connections>
</file>

<file path=xl/sharedStrings.xml><?xml version="1.0" encoding="utf-8"?>
<sst xmlns="http://schemas.openxmlformats.org/spreadsheetml/2006/main" count="345" uniqueCount="35">
  <si>
    <t>vendedor</t>
  </si>
  <si>
    <t>produto</t>
  </si>
  <si>
    <t>categoria</t>
  </si>
  <si>
    <t>vendas</t>
  </si>
  <si>
    <t>meta</t>
  </si>
  <si>
    <t>percentual_meta</t>
  </si>
  <si>
    <t>qtde_clientes</t>
  </si>
  <si>
    <t>ticket_medio</t>
  </si>
  <si>
    <t>avaliacao</t>
  </si>
  <si>
    <t>Daniel</t>
  </si>
  <si>
    <t>Boné</t>
  </si>
  <si>
    <t>Calçados</t>
  </si>
  <si>
    <t>Elisa</t>
  </si>
  <si>
    <t>Camiseta</t>
  </si>
  <si>
    <t>Carla</t>
  </si>
  <si>
    <t>Calça Jeans</t>
  </si>
  <si>
    <t>Acessórios</t>
  </si>
  <si>
    <t>Bruno</t>
  </si>
  <si>
    <t>Moletom</t>
  </si>
  <si>
    <t>Vestuário</t>
  </si>
  <si>
    <t>Tênis</t>
  </si>
  <si>
    <t>Ana</t>
  </si>
  <si>
    <t>Rótulos de Linha</t>
  </si>
  <si>
    <t>Total Geral</t>
  </si>
  <si>
    <t>Soma de vendas</t>
  </si>
  <si>
    <t>Painel de Performance - Vendedores</t>
  </si>
  <si>
    <t>Total de Vendas</t>
  </si>
  <si>
    <t>Vendedores</t>
  </si>
  <si>
    <t>Total</t>
  </si>
  <si>
    <t>Bateu Meta</t>
  </si>
  <si>
    <t>Meta</t>
  </si>
  <si>
    <t>pct BM</t>
  </si>
  <si>
    <t>qtd vendas</t>
  </si>
  <si>
    <t>av. média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</si>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</sst>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44" fontId="0" fillId="0" borderId="0" xfId="1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44" fontId="0" fillId="0" borderId="1" xfId="1" applyFont="1" applyBorder="1"/>
    <xf numFmtId="9" fontId="0" fillId="0" borderId="1" xfId="2" applyFont="1" applyBorder="1"/>
    <xf numFmtId="2" fontId="0" fillId="0" borderId="1" xfId="0" applyNumberFormat="1" applyBorder="1"/>
    <xf numFmtId="0" fontId="0" fillId="0" borderId="2" xfId="0" applyBorder="1" applyAlignment="1">
      <alignment horizontal="left" indent="1"/>
    </xf>
    <xf numFmtId="44" fontId="0" fillId="0" borderId="2" xfId="1" applyFont="1" applyBorder="1"/>
    <xf numFmtId="0" fontId="0" fillId="0" borderId="2" xfId="0" applyBorder="1"/>
    <xf numFmtId="9" fontId="0" fillId="0" borderId="2" xfId="2" applyFont="1" applyBorder="1"/>
    <xf numFmtId="2" fontId="0" fillId="0" borderId="2" xfId="0" applyNumberFormat="1" applyBorder="1"/>
    <xf numFmtId="0" fontId="2" fillId="0" borderId="3" xfId="0" applyFont="1" applyBorder="1" applyAlignment="1">
      <alignment horizontal="left" indent="1"/>
    </xf>
    <xf numFmtId="44" fontId="2" fillId="0" borderId="4" xfId="1" applyFont="1" applyBorder="1"/>
    <xf numFmtId="0" fontId="2" fillId="0" borderId="4" xfId="0" applyFont="1" applyBorder="1"/>
    <xf numFmtId="9" fontId="2" fillId="0" borderId="4" xfId="2" applyFont="1" applyBorder="1"/>
    <xf numFmtId="0" fontId="0" fillId="0" borderId="4" xfId="0" applyBorder="1"/>
    <xf numFmtId="2" fontId="0" fillId="0" borderId="5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27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de" refreshedDate="46171.449101967592" createdVersion="8" refreshedVersion="8" minRefreshableVersion="3" recordCount="100" xr:uid="{8741C1E9-A5C1-4761-B5CD-8206B71A9459}">
  <cacheSource type="worksheet">
    <worksheetSource name="tblVendas"/>
  </cacheSource>
  <cacheFields count="9">
    <cacheField name="vendedor" numFmtId="0">
      <sharedItems count="5">
        <s v="Daniel"/>
        <s v="Elisa"/>
        <s v="Carla"/>
        <s v="Bruno"/>
        <s v="Ana"/>
      </sharedItems>
    </cacheField>
    <cacheField name="produto" numFmtId="0">
      <sharedItems/>
    </cacheField>
    <cacheField name="categoria" numFmtId="0">
      <sharedItems count="3">
        <s v="Calçados"/>
        <s v="Acessórios"/>
        <s v="Vestuário"/>
      </sharedItems>
    </cacheField>
    <cacheField name="vendas" numFmtId="0">
      <sharedItems containsSemiMixedTypes="0" containsString="0" containsNumber="1" containsInteger="1" minValue="50" maxValue="15000"/>
    </cacheField>
    <cacheField name="meta" numFmtId="0">
      <sharedItems containsSemiMixedTypes="0" containsString="0" containsNumber="1" containsInteger="1" minValue="2500" maxValue="2500"/>
    </cacheField>
    <cacheField name="percentual_meta" numFmtId="0">
      <sharedItems containsSemiMixedTypes="0" containsString="0" containsNumber="1" minValue="0.2" maxValue="2"/>
    </cacheField>
    <cacheField name="qtde_clientes" numFmtId="0">
      <sharedItems containsSemiMixedTypes="0" containsString="0" containsNumber="1" containsInteger="1" minValue="10" maxValue="99"/>
    </cacheField>
    <cacheField name="ticket_medio" numFmtId="0">
      <sharedItems containsSemiMixedTypes="0" containsString="0" containsNumber="1" containsInteger="1" minValue="50" maxValue="198"/>
    </cacheField>
    <cacheField name="avaliacao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Boné"/>
    <x v="0"/>
    <n v="3620"/>
    <n v="2500"/>
    <n v="1.45"/>
    <n v="96"/>
    <n v="77"/>
    <n v="4"/>
  </r>
  <r>
    <x v="1"/>
    <s v="Camiseta"/>
    <x v="0"/>
    <n v="516"/>
    <n v="2500"/>
    <n v="0.21"/>
    <n v="84"/>
    <n v="150"/>
    <n v="4"/>
  </r>
  <r>
    <x v="2"/>
    <s v="Boné"/>
    <x v="0"/>
    <n v="1743"/>
    <n v="2500"/>
    <n v="0.7"/>
    <n v="27"/>
    <n v="90"/>
    <n v="4"/>
  </r>
  <r>
    <x v="1"/>
    <s v="Calça Jeans"/>
    <x v="1"/>
    <n v="2705"/>
    <n v="2500"/>
    <n v="1.08"/>
    <n v="85"/>
    <n v="194"/>
    <n v="4"/>
  </r>
  <r>
    <x v="1"/>
    <s v="Camiseta"/>
    <x v="1"/>
    <n v="3024"/>
    <n v="2500"/>
    <n v="1.21"/>
    <n v="18"/>
    <n v="190"/>
    <n v="4"/>
  </r>
  <r>
    <x v="3"/>
    <s v="Moletom"/>
    <x v="2"/>
    <n v="15000"/>
    <n v="2500"/>
    <n v="0.63"/>
    <n v="83"/>
    <n v="95"/>
    <n v="3"/>
  </r>
  <r>
    <x v="2"/>
    <s v="Tênis"/>
    <x v="2"/>
    <n v="3944"/>
    <n v="2500"/>
    <n v="1.58"/>
    <n v="67"/>
    <n v="84"/>
    <n v="4"/>
  </r>
  <r>
    <x v="2"/>
    <s v="Boné"/>
    <x v="1"/>
    <n v="3065"/>
    <n v="2500"/>
    <n v="1.23"/>
    <n v="26"/>
    <n v="183"/>
    <n v="4"/>
  </r>
  <r>
    <x v="2"/>
    <s v="Tênis"/>
    <x v="0"/>
    <n v="1560"/>
    <n v="2500"/>
    <n v="0.62"/>
    <n v="16"/>
    <n v="131"/>
    <n v="5"/>
  </r>
  <r>
    <x v="1"/>
    <s v="Tênis"/>
    <x v="2"/>
    <n v="2827"/>
    <n v="2500"/>
    <n v="1.1299999999999999"/>
    <n v="55"/>
    <n v="164"/>
    <n v="4"/>
  </r>
  <r>
    <x v="0"/>
    <s v="Camiseta"/>
    <x v="1"/>
    <n v="3920"/>
    <n v="2500"/>
    <n v="1.57"/>
    <n v="22"/>
    <n v="96"/>
    <n v="5"/>
  </r>
  <r>
    <x v="2"/>
    <s v="Tênis"/>
    <x v="1"/>
    <n v="801"/>
    <n v="2500"/>
    <n v="0.32"/>
    <n v="49"/>
    <n v="59"/>
    <n v="4"/>
  </r>
  <r>
    <x v="1"/>
    <s v="Moletom"/>
    <x v="1"/>
    <n v="50"/>
    <n v="2500"/>
    <n v="1.91"/>
    <n v="51"/>
    <n v="105"/>
    <n v="3"/>
  </r>
  <r>
    <x v="3"/>
    <s v="Tênis"/>
    <x v="0"/>
    <n v="1106"/>
    <n v="2500"/>
    <n v="0.44"/>
    <n v="18"/>
    <n v="79"/>
    <n v="5"/>
  </r>
  <r>
    <x v="0"/>
    <s v="Camiseta"/>
    <x v="1"/>
    <n v="3670"/>
    <n v="2500"/>
    <n v="1.47"/>
    <n v="59"/>
    <n v="158"/>
    <n v="3"/>
  </r>
  <r>
    <x v="3"/>
    <s v="Moletom"/>
    <x v="1"/>
    <n v="1199"/>
    <n v="2500"/>
    <n v="0.48"/>
    <n v="36"/>
    <n v="54"/>
    <n v="3"/>
  </r>
  <r>
    <x v="0"/>
    <s v="Calça Jeans"/>
    <x v="1"/>
    <n v="1639"/>
    <n v="2500"/>
    <n v="0.66"/>
    <n v="75"/>
    <n v="168"/>
    <n v="1"/>
  </r>
  <r>
    <x v="1"/>
    <s v="Tênis"/>
    <x v="1"/>
    <n v="690"/>
    <n v="2500"/>
    <n v="0.28000000000000003"/>
    <n v="14"/>
    <n v="82"/>
    <n v="4"/>
  </r>
  <r>
    <x v="4"/>
    <s v="Camiseta"/>
    <x v="2"/>
    <n v="2800"/>
    <n v="2500"/>
    <n v="1.1200000000000001"/>
    <n v="38"/>
    <n v="167"/>
    <n v="4"/>
  </r>
  <r>
    <x v="0"/>
    <s v="Calça Jeans"/>
    <x v="2"/>
    <n v="1480"/>
    <n v="2500"/>
    <n v="0.59"/>
    <n v="46"/>
    <n v="114"/>
    <n v="4"/>
  </r>
  <r>
    <x v="3"/>
    <s v="Calça Jeans"/>
    <x v="1"/>
    <n v="3475"/>
    <n v="2500"/>
    <n v="1.39"/>
    <n v="47"/>
    <n v="195"/>
    <n v="5"/>
  </r>
  <r>
    <x v="1"/>
    <s v="Boné"/>
    <x v="0"/>
    <n v="1684"/>
    <n v="2500"/>
    <n v="0.67"/>
    <n v="92"/>
    <n v="60"/>
    <n v="2"/>
  </r>
  <r>
    <x v="0"/>
    <s v="Moletom"/>
    <x v="2"/>
    <n v="3827"/>
    <n v="2500"/>
    <n v="1.53"/>
    <n v="17"/>
    <n v="134"/>
    <n v="3"/>
  </r>
  <r>
    <x v="4"/>
    <s v="Tênis"/>
    <x v="1"/>
    <n v="3894"/>
    <n v="2500"/>
    <n v="1.56"/>
    <n v="74"/>
    <n v="75"/>
    <n v="3"/>
  </r>
  <r>
    <x v="4"/>
    <s v="Camiseta"/>
    <x v="2"/>
    <n v="627"/>
    <n v="2500"/>
    <n v="0.25"/>
    <n v="95"/>
    <n v="112"/>
    <n v="2"/>
  </r>
  <r>
    <x v="2"/>
    <s v="Boné"/>
    <x v="2"/>
    <n v="2565"/>
    <n v="2500"/>
    <n v="1.03"/>
    <n v="26"/>
    <n v="135"/>
    <n v="4"/>
  </r>
  <r>
    <x v="2"/>
    <s v="Moletom"/>
    <x v="0"/>
    <n v="2316"/>
    <n v="2500"/>
    <n v="0.93"/>
    <n v="80"/>
    <n v="108"/>
    <n v="4"/>
  </r>
  <r>
    <x v="3"/>
    <s v="Boné"/>
    <x v="1"/>
    <n v="1069"/>
    <n v="2500"/>
    <n v="0.43"/>
    <n v="98"/>
    <n v="76"/>
    <n v="4"/>
  </r>
  <r>
    <x v="0"/>
    <s v="Moletom"/>
    <x v="1"/>
    <n v="2395"/>
    <n v="2500"/>
    <n v="0.96"/>
    <n v="54"/>
    <n v="147"/>
    <n v="3"/>
  </r>
  <r>
    <x v="0"/>
    <s v="Moletom"/>
    <x v="0"/>
    <n v="3233"/>
    <n v="2500"/>
    <n v="1.29"/>
    <n v="13"/>
    <n v="154"/>
    <n v="4"/>
  </r>
  <r>
    <x v="2"/>
    <s v="Tênis"/>
    <x v="0"/>
    <n v="4363"/>
    <n v="2500"/>
    <n v="1.75"/>
    <n v="45"/>
    <n v="148"/>
    <n v="1"/>
  </r>
  <r>
    <x v="0"/>
    <s v="Moletom"/>
    <x v="1"/>
    <n v="4514"/>
    <n v="2500"/>
    <n v="1.81"/>
    <n v="79"/>
    <n v="178"/>
    <n v="5"/>
  </r>
  <r>
    <x v="0"/>
    <s v="Boné"/>
    <x v="1"/>
    <n v="3401"/>
    <n v="2500"/>
    <n v="1.36"/>
    <n v="40"/>
    <n v="198"/>
    <n v="2"/>
  </r>
  <r>
    <x v="4"/>
    <s v="Moletom"/>
    <x v="0"/>
    <n v="2186"/>
    <n v="2500"/>
    <n v="0.87"/>
    <n v="28"/>
    <n v="104"/>
    <n v="4"/>
  </r>
  <r>
    <x v="2"/>
    <s v="Tênis"/>
    <x v="2"/>
    <n v="3509"/>
    <n v="2500"/>
    <n v="1.4"/>
    <n v="70"/>
    <n v="55"/>
    <n v="5"/>
  </r>
  <r>
    <x v="1"/>
    <s v="Tênis"/>
    <x v="2"/>
    <n v="654"/>
    <n v="2500"/>
    <n v="0.26"/>
    <n v="63"/>
    <n v="144"/>
    <n v="4"/>
  </r>
  <r>
    <x v="2"/>
    <s v="Boné"/>
    <x v="0"/>
    <n v="3037"/>
    <n v="2500"/>
    <n v="1.21"/>
    <n v="48"/>
    <n v="182"/>
    <n v="5"/>
  </r>
  <r>
    <x v="1"/>
    <s v="Calça Jeans"/>
    <x v="2"/>
    <n v="1909"/>
    <n v="2500"/>
    <n v="0.76"/>
    <n v="83"/>
    <n v="151"/>
    <n v="3"/>
  </r>
  <r>
    <x v="4"/>
    <s v="Calça Jeans"/>
    <x v="0"/>
    <n v="4557"/>
    <n v="2500"/>
    <n v="1.82"/>
    <n v="99"/>
    <n v="52"/>
    <n v="5"/>
  </r>
  <r>
    <x v="3"/>
    <s v="Moletom"/>
    <x v="2"/>
    <n v="1284"/>
    <n v="2500"/>
    <n v="0.51"/>
    <n v="28"/>
    <n v="72"/>
    <n v="4"/>
  </r>
  <r>
    <x v="0"/>
    <s v="Camiseta"/>
    <x v="2"/>
    <n v="3675"/>
    <n v="2500"/>
    <n v="1.47"/>
    <n v="48"/>
    <n v="102"/>
    <n v="4"/>
  </r>
  <r>
    <x v="4"/>
    <s v="Moletom"/>
    <x v="1"/>
    <n v="4841"/>
    <n v="2500"/>
    <n v="1.94"/>
    <n v="76"/>
    <n v="132"/>
    <n v="2"/>
  </r>
  <r>
    <x v="0"/>
    <s v="Boné"/>
    <x v="1"/>
    <n v="3306"/>
    <n v="2500"/>
    <n v="1.32"/>
    <n v="54"/>
    <n v="194"/>
    <n v="2"/>
  </r>
  <r>
    <x v="3"/>
    <s v="Boné"/>
    <x v="2"/>
    <n v="1037"/>
    <n v="2500"/>
    <n v="0.41"/>
    <n v="22"/>
    <n v="134"/>
    <n v="2"/>
  </r>
  <r>
    <x v="3"/>
    <s v="Boné"/>
    <x v="2"/>
    <n v="2341"/>
    <n v="2500"/>
    <n v="0.94"/>
    <n v="67"/>
    <n v="127"/>
    <n v="4"/>
  </r>
  <r>
    <x v="4"/>
    <s v="Boné"/>
    <x v="1"/>
    <n v="2955"/>
    <n v="2500"/>
    <n v="1.18"/>
    <n v="29"/>
    <n v="159"/>
    <n v="5"/>
  </r>
  <r>
    <x v="3"/>
    <s v="Boné"/>
    <x v="1"/>
    <n v="1024"/>
    <n v="2500"/>
    <n v="0.41"/>
    <n v="81"/>
    <n v="50"/>
    <n v="4"/>
  </r>
  <r>
    <x v="1"/>
    <s v="Tênis"/>
    <x v="1"/>
    <n v="3450"/>
    <n v="2500"/>
    <n v="1.38"/>
    <n v="70"/>
    <n v="100"/>
    <n v="1"/>
  </r>
  <r>
    <x v="3"/>
    <s v="Calça Jeans"/>
    <x v="0"/>
    <n v="4631"/>
    <n v="2500"/>
    <n v="1.85"/>
    <n v="48"/>
    <n v="53"/>
    <n v="5"/>
  </r>
  <r>
    <x v="0"/>
    <s v="Boné"/>
    <x v="2"/>
    <n v="4615"/>
    <n v="2500"/>
    <n v="1.85"/>
    <n v="10"/>
    <n v="162"/>
    <n v="4"/>
  </r>
  <r>
    <x v="0"/>
    <s v="Camiseta"/>
    <x v="1"/>
    <n v="2868"/>
    <n v="2500"/>
    <n v="1.1499999999999999"/>
    <n v="12"/>
    <n v="81"/>
    <n v="4"/>
  </r>
  <r>
    <x v="0"/>
    <s v="Camiseta"/>
    <x v="2"/>
    <n v="4347"/>
    <n v="2500"/>
    <n v="1.74"/>
    <n v="86"/>
    <n v="83"/>
    <n v="2"/>
  </r>
  <r>
    <x v="0"/>
    <s v="Camiseta"/>
    <x v="0"/>
    <n v="4995"/>
    <n v="2500"/>
    <n v="2"/>
    <n v="71"/>
    <n v="141"/>
    <n v="4"/>
  </r>
  <r>
    <x v="1"/>
    <s v="Camiseta"/>
    <x v="0"/>
    <n v="3201"/>
    <n v="2500"/>
    <n v="1.28"/>
    <n v="72"/>
    <n v="144"/>
    <n v="3"/>
  </r>
  <r>
    <x v="2"/>
    <s v="Tênis"/>
    <x v="1"/>
    <n v="1471"/>
    <n v="2500"/>
    <n v="0.59"/>
    <n v="34"/>
    <n v="121"/>
    <n v="4"/>
  </r>
  <r>
    <x v="4"/>
    <s v="Camiseta"/>
    <x v="0"/>
    <n v="1666"/>
    <n v="2500"/>
    <n v="0.67"/>
    <n v="65"/>
    <n v="88"/>
    <n v="5"/>
  </r>
  <r>
    <x v="0"/>
    <s v="Boné"/>
    <x v="2"/>
    <n v="3274"/>
    <n v="2500"/>
    <n v="1.31"/>
    <n v="42"/>
    <n v="167"/>
    <n v="2"/>
  </r>
  <r>
    <x v="3"/>
    <s v="Moletom"/>
    <x v="1"/>
    <n v="2482"/>
    <n v="2500"/>
    <n v="0.99"/>
    <n v="47"/>
    <n v="52"/>
    <n v="4"/>
  </r>
  <r>
    <x v="0"/>
    <s v="Camiseta"/>
    <x v="2"/>
    <n v="1353"/>
    <n v="2500"/>
    <n v="0.54"/>
    <n v="15"/>
    <n v="172"/>
    <n v="3"/>
  </r>
  <r>
    <x v="3"/>
    <s v="Tênis"/>
    <x v="2"/>
    <n v="4646"/>
    <n v="2500"/>
    <n v="1.86"/>
    <n v="67"/>
    <n v="99"/>
    <n v="3"/>
  </r>
  <r>
    <x v="3"/>
    <s v="Tênis"/>
    <x v="0"/>
    <n v="4236"/>
    <n v="2500"/>
    <n v="1.69"/>
    <n v="53"/>
    <n v="61"/>
    <n v="4"/>
  </r>
  <r>
    <x v="0"/>
    <s v="Camiseta"/>
    <x v="0"/>
    <n v="4269"/>
    <n v="2500"/>
    <n v="1.71"/>
    <n v="54"/>
    <n v="103"/>
    <n v="4"/>
  </r>
  <r>
    <x v="1"/>
    <s v="Moletom"/>
    <x v="0"/>
    <n v="1074"/>
    <n v="2500"/>
    <n v="0.43"/>
    <n v="41"/>
    <n v="182"/>
    <n v="4"/>
  </r>
  <r>
    <x v="3"/>
    <s v="Camiseta"/>
    <x v="0"/>
    <n v="3761"/>
    <n v="2500"/>
    <n v="1.5"/>
    <n v="54"/>
    <n v="106"/>
    <n v="4"/>
  </r>
  <r>
    <x v="3"/>
    <s v="Tênis"/>
    <x v="0"/>
    <n v="1648"/>
    <n v="2500"/>
    <n v="0.66"/>
    <n v="70"/>
    <n v="194"/>
    <n v="4"/>
  </r>
  <r>
    <x v="0"/>
    <s v="Calça Jeans"/>
    <x v="1"/>
    <n v="2215"/>
    <n v="2500"/>
    <n v="0.89"/>
    <n v="56"/>
    <n v="161"/>
    <n v="4"/>
  </r>
  <r>
    <x v="3"/>
    <s v="Boné"/>
    <x v="2"/>
    <n v="4354"/>
    <n v="2500"/>
    <n v="1.74"/>
    <n v="30"/>
    <n v="96"/>
    <n v="4"/>
  </r>
  <r>
    <x v="3"/>
    <s v="Tênis"/>
    <x v="2"/>
    <n v="2991"/>
    <n v="2500"/>
    <n v="1.2"/>
    <n v="89"/>
    <n v="134"/>
    <n v="4"/>
  </r>
  <r>
    <x v="0"/>
    <s v="Camiseta"/>
    <x v="2"/>
    <n v="3160"/>
    <n v="2500"/>
    <n v="1.26"/>
    <n v="94"/>
    <n v="191"/>
    <n v="4"/>
  </r>
  <r>
    <x v="0"/>
    <s v="Boné"/>
    <x v="2"/>
    <n v="3624"/>
    <n v="2500"/>
    <n v="1.45"/>
    <n v="84"/>
    <n v="115"/>
    <n v="4"/>
  </r>
  <r>
    <x v="4"/>
    <s v="Camiseta"/>
    <x v="0"/>
    <n v="3551"/>
    <n v="2500"/>
    <n v="1.42"/>
    <n v="45"/>
    <n v="124"/>
    <n v="3"/>
  </r>
  <r>
    <x v="1"/>
    <s v="Camiseta"/>
    <x v="2"/>
    <n v="504"/>
    <n v="2500"/>
    <n v="0.2"/>
    <n v="28"/>
    <n v="152"/>
    <n v="5"/>
  </r>
  <r>
    <x v="1"/>
    <s v="Calça Jeans"/>
    <x v="1"/>
    <n v="1376"/>
    <n v="2500"/>
    <n v="0.55000000000000004"/>
    <n v="29"/>
    <n v="87"/>
    <n v="4"/>
  </r>
  <r>
    <x v="3"/>
    <s v="Boné"/>
    <x v="1"/>
    <n v="1491"/>
    <n v="2500"/>
    <n v="0.6"/>
    <n v="66"/>
    <n v="99"/>
    <n v="3"/>
  </r>
  <r>
    <x v="1"/>
    <s v="Boné"/>
    <x v="2"/>
    <n v="4642"/>
    <n v="2500"/>
    <n v="1.86"/>
    <n v="27"/>
    <n v="147"/>
    <n v="4"/>
  </r>
  <r>
    <x v="3"/>
    <s v="Calça Jeans"/>
    <x v="2"/>
    <n v="4864"/>
    <n v="2500"/>
    <n v="1.95"/>
    <n v="56"/>
    <n v="131"/>
    <n v="3"/>
  </r>
  <r>
    <x v="4"/>
    <s v="Tênis"/>
    <x v="1"/>
    <n v="4965"/>
    <n v="2500"/>
    <n v="1.99"/>
    <n v="58"/>
    <n v="79"/>
    <n v="5"/>
  </r>
  <r>
    <x v="0"/>
    <s v="Camiseta"/>
    <x v="1"/>
    <n v="1135"/>
    <n v="2500"/>
    <n v="0.45"/>
    <n v="23"/>
    <n v="128"/>
    <n v="1"/>
  </r>
  <r>
    <x v="0"/>
    <s v="Moletom"/>
    <x v="0"/>
    <n v="2193"/>
    <n v="2500"/>
    <n v="0.88"/>
    <n v="24"/>
    <n v="140"/>
    <n v="3"/>
  </r>
  <r>
    <x v="0"/>
    <s v="Camiseta"/>
    <x v="1"/>
    <n v="2182"/>
    <n v="2500"/>
    <n v="0.87"/>
    <n v="40"/>
    <n v="101"/>
    <n v="4"/>
  </r>
  <r>
    <x v="1"/>
    <s v="Camiseta"/>
    <x v="0"/>
    <n v="619"/>
    <n v="2500"/>
    <n v="0.25"/>
    <n v="10"/>
    <n v="128"/>
    <n v="4"/>
  </r>
  <r>
    <x v="4"/>
    <s v="Tênis"/>
    <x v="0"/>
    <n v="1330"/>
    <n v="2500"/>
    <n v="0.53"/>
    <n v="63"/>
    <n v="79"/>
    <n v="5"/>
  </r>
  <r>
    <x v="1"/>
    <s v="Camiseta"/>
    <x v="0"/>
    <n v="4175"/>
    <n v="2500"/>
    <n v="1.67"/>
    <n v="12"/>
    <n v="155"/>
    <n v="2"/>
  </r>
  <r>
    <x v="1"/>
    <s v="Calça Jeans"/>
    <x v="0"/>
    <n v="1869"/>
    <n v="2500"/>
    <n v="0.75"/>
    <n v="25"/>
    <n v="100"/>
    <n v="5"/>
  </r>
  <r>
    <x v="4"/>
    <s v="Calça Jeans"/>
    <x v="0"/>
    <n v="1240"/>
    <n v="2500"/>
    <n v="0.5"/>
    <n v="96"/>
    <n v="130"/>
    <n v="2"/>
  </r>
  <r>
    <x v="4"/>
    <s v="Boné"/>
    <x v="2"/>
    <n v="616"/>
    <n v="2500"/>
    <n v="0.25"/>
    <n v="66"/>
    <n v="182"/>
    <n v="5"/>
  </r>
  <r>
    <x v="4"/>
    <s v="Moletom"/>
    <x v="1"/>
    <n v="3338"/>
    <n v="2500"/>
    <n v="1.34"/>
    <n v="84"/>
    <n v="78"/>
    <n v="2"/>
  </r>
  <r>
    <x v="4"/>
    <s v="Camiseta"/>
    <x v="0"/>
    <n v="1650"/>
    <n v="2500"/>
    <n v="0.66"/>
    <n v="21"/>
    <n v="181"/>
    <n v="1"/>
  </r>
  <r>
    <x v="0"/>
    <s v="Camiseta"/>
    <x v="1"/>
    <n v="2431"/>
    <n v="2500"/>
    <n v="0.97"/>
    <n v="83"/>
    <n v="187"/>
    <n v="4"/>
  </r>
  <r>
    <x v="2"/>
    <s v="Tênis"/>
    <x v="1"/>
    <n v="1512"/>
    <n v="2500"/>
    <n v="0.6"/>
    <n v="25"/>
    <n v="194"/>
    <n v="5"/>
  </r>
  <r>
    <x v="2"/>
    <s v="Calça Jeans"/>
    <x v="0"/>
    <n v="2164"/>
    <n v="2500"/>
    <n v="0.87"/>
    <n v="81"/>
    <n v="123"/>
    <n v="5"/>
  </r>
  <r>
    <x v="4"/>
    <s v="Moletom"/>
    <x v="2"/>
    <n v="1581"/>
    <n v="2500"/>
    <n v="0.63"/>
    <n v="85"/>
    <n v="66"/>
    <n v="4"/>
  </r>
  <r>
    <x v="2"/>
    <s v="Boné"/>
    <x v="0"/>
    <n v="1012"/>
    <n v="2500"/>
    <n v="0.4"/>
    <n v="33"/>
    <n v="133"/>
    <n v="5"/>
  </r>
  <r>
    <x v="2"/>
    <s v="Calça Jeans"/>
    <x v="2"/>
    <n v="3349"/>
    <n v="2500"/>
    <n v="1.34"/>
    <n v="37"/>
    <n v="118"/>
    <n v="1"/>
  </r>
  <r>
    <x v="4"/>
    <s v="Boné"/>
    <x v="1"/>
    <n v="1059"/>
    <n v="2500"/>
    <n v="0.42"/>
    <n v="17"/>
    <n v="83"/>
    <n v="5"/>
  </r>
  <r>
    <x v="2"/>
    <s v="Tênis"/>
    <x v="2"/>
    <n v="4172"/>
    <n v="2500"/>
    <n v="1.67"/>
    <n v="45"/>
    <n v="55"/>
    <n v="4"/>
  </r>
  <r>
    <x v="1"/>
    <s v="Tênis"/>
    <x v="2"/>
    <n v="3843"/>
    <n v="2500"/>
    <n v="1.54"/>
    <n v="99"/>
    <n v="102"/>
    <n v="4"/>
  </r>
  <r>
    <x v="3"/>
    <s v="Camiseta"/>
    <x v="2"/>
    <n v="4570"/>
    <n v="2500"/>
    <n v="1.83"/>
    <n v="17"/>
    <n v="175"/>
    <n v="5"/>
  </r>
  <r>
    <x v="3"/>
    <s v="Moletom"/>
    <x v="1"/>
    <n v="1970"/>
    <n v="2500"/>
    <n v="0.79"/>
    <n v="67"/>
    <n v="92"/>
    <n v="4"/>
  </r>
  <r>
    <x v="4"/>
    <s v="Boné"/>
    <x v="1"/>
    <n v="1080"/>
    <n v="2500"/>
    <n v="0.43"/>
    <n v="69"/>
    <n v="16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8FB64-AAF0-4269-8466-E554E827365C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2" firstHeaderRow="1" firstDataRow="1" firstDataCol="1"/>
  <pivotFields count="9">
    <pivotField axis="axisRow" showAll="0" sortType="descending">
      <items count="6">
        <item x="4"/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2">
    <field x="2"/>
    <field x="0"/>
  </rowFields>
  <rowItems count="19">
    <i>
      <x/>
    </i>
    <i r="1">
      <x v="3"/>
    </i>
    <i r="1">
      <x/>
    </i>
    <i r="1">
      <x v="1"/>
    </i>
    <i r="1">
      <x v="4"/>
    </i>
    <i r="1">
      <x v="2"/>
    </i>
    <i>
      <x v="1"/>
    </i>
    <i r="1">
      <x v="3"/>
    </i>
    <i r="1">
      <x v="2"/>
    </i>
    <i r="1">
      <x/>
    </i>
    <i r="1">
      <x v="1"/>
    </i>
    <i r="1">
      <x v="4"/>
    </i>
    <i>
      <x v="2"/>
    </i>
    <i r="1">
      <x v="1"/>
    </i>
    <i r="1">
      <x v="3"/>
    </i>
    <i r="1">
      <x v="2"/>
    </i>
    <i r="1">
      <x v="4"/>
    </i>
    <i r="1">
      <x/>
    </i>
    <i t="grand">
      <x/>
    </i>
  </rowItems>
  <colItems count="1">
    <i/>
  </colItems>
  <dataFields count="1">
    <dataField name="Soma de vendas" fld="3" baseField="0" baseItem="0" numFmtId="44"/>
  </dataFields>
  <formats count="1">
    <format dxfId="27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BEE9441-2360-417E-AE68-B9CB871489E9}" autoFormatId="16" applyNumberFormats="0" applyBorderFormats="0" applyFontFormats="0" applyPatternFormats="0" applyAlignmentFormats="0" applyWidthHeightFormats="0">
  <queryTableRefresh nextId="11">
    <queryTableFields count="9">
      <queryTableField id="1" name="vendedor" tableColumnId="1"/>
      <queryTableField id="2" name="produto" tableColumnId="2"/>
      <queryTableField id="3" name="categoria" tableColumnId="3"/>
      <queryTableField id="4" name="vendas" tableColumnId="4"/>
      <queryTableField id="5" name="meta" tableColumnId="5"/>
      <queryTableField id="6" name="percentual_meta" tableColumnId="6"/>
      <queryTableField id="7" name="qtde_clientes" tableColumnId="7"/>
      <queryTableField id="8" name="ticket_medio" tableColumnId="8"/>
      <queryTableField id="9" name="avaliaca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6CAE14-A92E-4107-8618-DC10D8993390}" name="tblVendas" displayName="tblVendas" ref="A1:I101" tableType="queryTable" totalsRowShown="0">
  <autoFilter ref="A1:I101" xr:uid="{5E6CAE14-A92E-4107-8618-DC10D8993390}"/>
  <tableColumns count="9">
    <tableColumn id="1" xr3:uid="{2D985519-6E7B-4389-87C7-65B6B73F162C}" uniqueName="1" name="vendedor" queryTableFieldId="1" dataDxfId="278"/>
    <tableColumn id="2" xr3:uid="{43BC5462-24EA-445C-89DB-56336BF7A89F}" uniqueName="2" name="produto" queryTableFieldId="2" dataDxfId="277"/>
    <tableColumn id="3" xr3:uid="{F4297CA9-C490-4A58-B235-24416D72660F}" uniqueName="3" name="categoria" queryTableFieldId="3" dataDxfId="276"/>
    <tableColumn id="4" xr3:uid="{1305AB68-CD64-4FDC-B21A-060891F92538}" uniqueName="4" name="vendas" queryTableFieldId="4"/>
    <tableColumn id="5" xr3:uid="{226BAC65-86B6-478B-A5FF-1AA85AF17C2A}" uniqueName="5" name="meta" queryTableFieldId="5"/>
    <tableColumn id="6" xr3:uid="{135821C3-8BFA-4727-A98D-7FAB36A2ECA9}" uniqueName="6" name="percentual_meta" queryTableFieldId="6"/>
    <tableColumn id="7" xr3:uid="{AB59A5AF-BE78-4461-A420-EC778DA532C6}" uniqueName="7" name="qtde_clientes" queryTableFieldId="7"/>
    <tableColumn id="8" xr3:uid="{DD76D6CE-ED19-4950-A60F-A70C195F9069}" uniqueName="8" name="ticket_medio" queryTableFieldId="8"/>
    <tableColumn id="9" xr3:uid="{6C60F5E7-7C97-4867-AF28-D2C4740D663E}" uniqueName="9" name="avaliacao" queryTableFieldId="9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965D4-AB06-4663-B5C5-93225DA05F77}">
  <dimension ref="A3:D22"/>
  <sheetViews>
    <sheetView workbookViewId="0">
      <selection activeCell="A5" sqref="A5:A9"/>
    </sheetView>
  </sheetViews>
  <sheetFormatPr defaultRowHeight="15" x14ac:dyDescent="0.25"/>
  <cols>
    <col min="1" max="1" width="18.42578125" bestFit="1" customWidth="1"/>
    <col min="2" max="2" width="15.7109375" bestFit="1" customWidth="1"/>
    <col min="3" max="3" width="14.5703125" bestFit="1" customWidth="1"/>
    <col min="4" max="4" width="13.28515625" bestFit="1" customWidth="1"/>
  </cols>
  <sheetData>
    <row r="3" spans="1:4" x14ac:dyDescent="0.25">
      <c r="A3" s="2" t="s">
        <v>22</v>
      </c>
      <c r="B3" t="s">
        <v>24</v>
      </c>
    </row>
    <row r="4" spans="1:4" x14ac:dyDescent="0.25">
      <c r="A4" s="3" t="s">
        <v>16</v>
      </c>
      <c r="B4" s="5">
        <v>86662</v>
      </c>
      <c r="D4" s="6">
        <f>GETPIVOTDATA("vendas",$A$3,"vendedor","Daniel","categoria","Acessórios")-GETPIVOTDATA("vendas",$A$3,"vendedor","Carla","categoria","Acessórios")</f>
        <v>26827</v>
      </c>
    </row>
    <row r="5" spans="1:4" x14ac:dyDescent="0.25">
      <c r="A5" s="4" t="s">
        <v>9</v>
      </c>
      <c r="B5" s="5">
        <v>33676</v>
      </c>
    </row>
    <row r="6" spans="1:4" x14ac:dyDescent="0.25">
      <c r="A6" s="4" t="s">
        <v>21</v>
      </c>
      <c r="B6" s="5">
        <v>22132</v>
      </c>
      <c r="D6" s="6">
        <f>GETPIVOTDATA("vendas",$A$3,"vendedor","Daniel","categoria","Calçados")-GETPIVOTDATA("vendas",$A$3,"vendedor","Elisa","categoria","Calçados")</f>
        <v>5172</v>
      </c>
    </row>
    <row r="7" spans="1:4" x14ac:dyDescent="0.25">
      <c r="A7" s="4" t="s">
        <v>17</v>
      </c>
      <c r="B7" s="5">
        <v>12710</v>
      </c>
    </row>
    <row r="8" spans="1:4" x14ac:dyDescent="0.25">
      <c r="A8" s="4" t="s">
        <v>12</v>
      </c>
      <c r="B8" s="5">
        <v>11295</v>
      </c>
      <c r="D8" s="6">
        <f>GETPIVOTDATA("vendas",$A$3,"vendedor","Bruno","categoria","Vestuário")-GETPIVOTDATA("vendas",$A$3,"vendedor","Ana","categoria","Vestuário")</f>
        <v>35463</v>
      </c>
    </row>
    <row r="9" spans="1:4" x14ac:dyDescent="0.25">
      <c r="A9" s="4" t="s">
        <v>14</v>
      </c>
      <c r="B9" s="5">
        <v>6849</v>
      </c>
    </row>
    <row r="10" spans="1:4" x14ac:dyDescent="0.25">
      <c r="A10" s="3" t="s">
        <v>11</v>
      </c>
      <c r="B10" s="5">
        <v>79205</v>
      </c>
    </row>
    <row r="11" spans="1:4" x14ac:dyDescent="0.25">
      <c r="A11" s="4" t="s">
        <v>9</v>
      </c>
      <c r="B11" s="5">
        <v>18310</v>
      </c>
    </row>
    <row r="12" spans="1:4" x14ac:dyDescent="0.25">
      <c r="A12" s="4" t="s">
        <v>14</v>
      </c>
      <c r="B12" s="5">
        <v>16195</v>
      </c>
    </row>
    <row r="13" spans="1:4" x14ac:dyDescent="0.25">
      <c r="A13" s="4" t="s">
        <v>21</v>
      </c>
      <c r="B13" s="5">
        <v>16180</v>
      </c>
    </row>
    <row r="14" spans="1:4" x14ac:dyDescent="0.25">
      <c r="A14" s="4" t="s">
        <v>17</v>
      </c>
      <c r="B14" s="5">
        <v>15382</v>
      </c>
    </row>
    <row r="15" spans="1:4" x14ac:dyDescent="0.25">
      <c r="A15" s="4" t="s">
        <v>12</v>
      </c>
      <c r="B15" s="5">
        <v>13138</v>
      </c>
    </row>
    <row r="16" spans="1:4" x14ac:dyDescent="0.25">
      <c r="A16" s="3" t="s">
        <v>19</v>
      </c>
      <c r="B16" s="5">
        <v>107984</v>
      </c>
    </row>
    <row r="17" spans="1:2" x14ac:dyDescent="0.25">
      <c r="A17" s="4" t="s">
        <v>17</v>
      </c>
      <c r="B17" s="5">
        <v>41087</v>
      </c>
    </row>
    <row r="18" spans="1:2" x14ac:dyDescent="0.25">
      <c r="A18" s="4" t="s">
        <v>9</v>
      </c>
      <c r="B18" s="5">
        <v>29355</v>
      </c>
    </row>
    <row r="19" spans="1:2" x14ac:dyDescent="0.25">
      <c r="A19" s="4" t="s">
        <v>14</v>
      </c>
      <c r="B19" s="5">
        <v>17539</v>
      </c>
    </row>
    <row r="20" spans="1:2" x14ac:dyDescent="0.25">
      <c r="A20" s="4" t="s">
        <v>12</v>
      </c>
      <c r="B20" s="5">
        <v>14379</v>
      </c>
    </row>
    <row r="21" spans="1:2" x14ac:dyDescent="0.25">
      <c r="A21" s="4" t="s">
        <v>21</v>
      </c>
      <c r="B21" s="5">
        <v>5624</v>
      </c>
    </row>
    <row r="22" spans="1:2" x14ac:dyDescent="0.25">
      <c r="A22" s="3" t="s">
        <v>23</v>
      </c>
      <c r="B22" s="5">
        <v>273851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C87F-A8FF-4D83-914C-1332E47CEFDA}">
  <dimension ref="A1:Q101"/>
  <sheetViews>
    <sheetView tabSelected="1" workbookViewId="0">
      <selection activeCell="K2" sqref="K2:Q9"/>
    </sheetView>
  </sheetViews>
  <sheetFormatPr defaultRowHeight="15" x14ac:dyDescent="0.25"/>
  <cols>
    <col min="1" max="1" width="11.85546875" bestFit="1" customWidth="1"/>
    <col min="2" max="2" width="11.42578125" bestFit="1" customWidth="1"/>
    <col min="3" max="3" width="11.5703125" bestFit="1" customWidth="1"/>
    <col min="4" max="4" width="9.7109375" bestFit="1" customWidth="1"/>
    <col min="5" max="5" width="7.85546875" bestFit="1" customWidth="1"/>
    <col min="6" max="6" width="18.5703125" bestFit="1" customWidth="1"/>
    <col min="7" max="7" width="15.7109375" bestFit="1" customWidth="1"/>
    <col min="8" max="8" width="15" bestFit="1" customWidth="1"/>
    <col min="9" max="9" width="11.5703125" bestFit="1" customWidth="1"/>
    <col min="10" max="10" width="14.140625" customWidth="1"/>
    <col min="11" max="11" width="11.7109375" customWidth="1"/>
    <col min="12" max="12" width="18" customWidth="1"/>
    <col min="13" max="13" width="17.28515625" customWidth="1"/>
    <col min="14" max="14" width="11" customWidth="1"/>
    <col min="15" max="15" width="9.7109375" customWidth="1"/>
    <col min="16" max="16" width="11.28515625" customWidth="1"/>
    <col min="17" max="17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7" x14ac:dyDescent="0.25">
      <c r="A2" s="1" t="s">
        <v>9</v>
      </c>
      <c r="B2" s="1" t="s">
        <v>10</v>
      </c>
      <c r="C2" s="1" t="s">
        <v>11</v>
      </c>
      <c r="D2">
        <v>3620</v>
      </c>
      <c r="E2">
        <v>2500</v>
      </c>
      <c r="F2">
        <v>1.45</v>
      </c>
      <c r="G2">
        <v>96</v>
      </c>
      <c r="H2">
        <v>77</v>
      </c>
      <c r="I2">
        <v>4</v>
      </c>
      <c r="K2" s="8" t="s">
        <v>25</v>
      </c>
      <c r="L2" s="8"/>
      <c r="M2" s="8"/>
      <c r="N2" s="8"/>
      <c r="O2" s="8"/>
      <c r="P2" s="8"/>
      <c r="Q2" s="8"/>
    </row>
    <row r="3" spans="1:17" x14ac:dyDescent="0.25">
      <c r="A3" s="1" t="s">
        <v>12</v>
      </c>
      <c r="B3" s="1" t="s">
        <v>13</v>
      </c>
      <c r="C3" s="1" t="s">
        <v>11</v>
      </c>
      <c r="D3">
        <v>516</v>
      </c>
      <c r="E3">
        <v>2500</v>
      </c>
      <c r="F3">
        <v>0.21</v>
      </c>
      <c r="G3">
        <v>84</v>
      </c>
      <c r="H3">
        <v>150</v>
      </c>
      <c r="I3">
        <v>4</v>
      </c>
      <c r="K3" s="7" t="s">
        <v>27</v>
      </c>
      <c r="L3" s="7" t="s">
        <v>26</v>
      </c>
      <c r="M3" s="7" t="s">
        <v>30</v>
      </c>
      <c r="N3" s="7" t="s">
        <v>29</v>
      </c>
      <c r="O3" s="7" t="s">
        <v>31</v>
      </c>
      <c r="P3" s="7" t="s">
        <v>32</v>
      </c>
      <c r="Q3" s="7" t="s">
        <v>33</v>
      </c>
    </row>
    <row r="4" spans="1:17" x14ac:dyDescent="0.25">
      <c r="A4" s="1" t="s">
        <v>14</v>
      </c>
      <c r="B4" s="1" t="s">
        <v>10</v>
      </c>
      <c r="C4" s="1" t="s">
        <v>11</v>
      </c>
      <c r="D4">
        <v>1743</v>
      </c>
      <c r="E4">
        <v>2500</v>
      </c>
      <c r="F4">
        <v>0.7</v>
      </c>
      <c r="G4">
        <v>27</v>
      </c>
      <c r="H4">
        <v>90</v>
      </c>
      <c r="I4">
        <v>4</v>
      </c>
      <c r="K4" s="9" t="s">
        <v>9</v>
      </c>
      <c r="L4" s="10">
        <f>SUMIF(tblVendas[vendedor], K4, tblVendas[vendas])</f>
        <v>81341</v>
      </c>
      <c r="M4" s="10">
        <f>SUMIF(tblVendas[vendedor], K4, tblVendas[meta])</f>
        <v>65000</v>
      </c>
      <c r="N4" s="7" t="str">
        <f>IF(L4&gt;M4, "Sim", "Não")</f>
        <v>Sim</v>
      </c>
      <c r="O4" s="11">
        <f>IF(N4="Sim", 1/5, "")</f>
        <v>0.2</v>
      </c>
      <c r="P4" s="7">
        <f>COUNTIF(tblVendas[vendedor], K4)</f>
        <v>26</v>
      </c>
      <c r="Q4" s="12">
        <f>SUMIF(tblVendas[vendedor], K4, tblVendas[avaliacao])/P4</f>
        <v>3.3461538461538463</v>
      </c>
    </row>
    <row r="5" spans="1:17" x14ac:dyDescent="0.25">
      <c r="A5" s="1" t="s">
        <v>12</v>
      </c>
      <c r="B5" s="1" t="s">
        <v>15</v>
      </c>
      <c r="C5" s="1" t="s">
        <v>16</v>
      </c>
      <c r="D5">
        <v>2705</v>
      </c>
      <c r="E5">
        <v>2500</v>
      </c>
      <c r="F5">
        <v>1.08</v>
      </c>
      <c r="G5">
        <v>85</v>
      </c>
      <c r="H5">
        <v>194</v>
      </c>
      <c r="I5">
        <v>4</v>
      </c>
      <c r="K5" s="9" t="s">
        <v>17</v>
      </c>
      <c r="L5" s="10">
        <f>SUMIF(tblVendas[vendedor], K5, tblVendas[vendas])</f>
        <v>69179</v>
      </c>
      <c r="M5" s="10">
        <f>SUMIF(tblVendas[vendedor], K5, tblVendas[meta])</f>
        <v>52500</v>
      </c>
      <c r="N5" s="7" t="str">
        <f t="shared" ref="N5:N9" si="0">IF(L5&gt;M5, "Sim", "Não")</f>
        <v>Sim</v>
      </c>
      <c r="O5" s="11">
        <f t="shared" ref="O5:O8" si="1">IF(N5="Sim", 1/5, "")</f>
        <v>0.2</v>
      </c>
      <c r="P5" s="7">
        <f>COUNTIF(tblVendas[vendedor], K5)</f>
        <v>21</v>
      </c>
      <c r="Q5" s="12">
        <f>SUMIF(tblVendas[vendedor], K5, tblVendas[avaliacao])/P5</f>
        <v>3.8571428571428572</v>
      </c>
    </row>
    <row r="6" spans="1:17" x14ac:dyDescent="0.25">
      <c r="A6" s="1" t="s">
        <v>12</v>
      </c>
      <c r="B6" s="1" t="s">
        <v>13</v>
      </c>
      <c r="C6" s="1" t="s">
        <v>16</v>
      </c>
      <c r="D6">
        <v>3024</v>
      </c>
      <c r="E6">
        <v>2500</v>
      </c>
      <c r="F6">
        <v>1.21</v>
      </c>
      <c r="G6">
        <v>18</v>
      </c>
      <c r="H6">
        <v>190</v>
      </c>
      <c r="I6">
        <v>4</v>
      </c>
      <c r="K6" s="9" t="s">
        <v>21</v>
      </c>
      <c r="L6" s="10">
        <f>SUMIF(tblVendas[vendedor], K6, tblVendas[vendas])</f>
        <v>43936</v>
      </c>
      <c r="M6" s="10">
        <f>SUMIF(tblVendas[vendedor], K6, tblVendas[meta])</f>
        <v>45000</v>
      </c>
      <c r="N6" s="7" t="str">
        <f t="shared" si="0"/>
        <v>Não</v>
      </c>
      <c r="O6" s="11" t="str">
        <f t="shared" si="1"/>
        <v/>
      </c>
      <c r="P6" s="7">
        <f>COUNTIF(tblVendas[vendedor], K6)</f>
        <v>18</v>
      </c>
      <c r="Q6" s="12">
        <f>SUMIF(tblVendas[vendedor], K6, tblVendas[avaliacao])/P6</f>
        <v>3.6666666666666665</v>
      </c>
    </row>
    <row r="7" spans="1:17" x14ac:dyDescent="0.25">
      <c r="A7" s="1" t="s">
        <v>17</v>
      </c>
      <c r="B7" s="1" t="s">
        <v>18</v>
      </c>
      <c r="C7" s="1" t="s">
        <v>19</v>
      </c>
      <c r="D7">
        <v>15000</v>
      </c>
      <c r="E7">
        <v>2500</v>
      </c>
      <c r="F7">
        <v>0.63</v>
      </c>
      <c r="G7">
        <v>83</v>
      </c>
      <c r="H7">
        <v>95</v>
      </c>
      <c r="I7">
        <v>3</v>
      </c>
      <c r="K7" s="9" t="s">
        <v>14</v>
      </c>
      <c r="L7" s="10">
        <f>SUMIF(tblVendas[vendedor], K7, tblVendas[vendas])</f>
        <v>40583</v>
      </c>
      <c r="M7" s="10">
        <f>SUMIF(tblVendas[vendedor], K7, tblVendas[meta])</f>
        <v>40000</v>
      </c>
      <c r="N7" s="7" t="str">
        <f t="shared" si="0"/>
        <v>Sim</v>
      </c>
      <c r="O7" s="11">
        <f t="shared" si="1"/>
        <v>0.2</v>
      </c>
      <c r="P7" s="7">
        <f>COUNTIF(tblVendas[vendedor], K7)</f>
        <v>16</v>
      </c>
      <c r="Q7" s="12">
        <f>SUMIF(tblVendas[vendedor], K7, tblVendas[avaliacao])/P7</f>
        <v>4</v>
      </c>
    </row>
    <row r="8" spans="1:17" ht="15.75" thickBot="1" x14ac:dyDescent="0.3">
      <c r="A8" s="1" t="s">
        <v>14</v>
      </c>
      <c r="B8" s="1" t="s">
        <v>20</v>
      </c>
      <c r="C8" s="1" t="s">
        <v>19</v>
      </c>
      <c r="D8">
        <v>3944</v>
      </c>
      <c r="E8">
        <v>2500</v>
      </c>
      <c r="F8">
        <v>1.58</v>
      </c>
      <c r="G8">
        <v>67</v>
      </c>
      <c r="H8">
        <v>84</v>
      </c>
      <c r="I8">
        <v>4</v>
      </c>
      <c r="K8" s="13" t="s">
        <v>12</v>
      </c>
      <c r="L8" s="14">
        <f>SUMIF(tblVendas[vendedor], K8, tblVendas[vendas])</f>
        <v>38812</v>
      </c>
      <c r="M8" s="14">
        <f>SUMIF(tblVendas[vendedor], K8, tblVendas[meta])</f>
        <v>47500</v>
      </c>
      <c r="N8" s="15" t="str">
        <f t="shared" si="0"/>
        <v>Não</v>
      </c>
      <c r="O8" s="16" t="str">
        <f t="shared" si="1"/>
        <v/>
      </c>
      <c r="P8" s="15">
        <f>COUNTIF(tblVendas[vendedor], K8)</f>
        <v>19</v>
      </c>
      <c r="Q8" s="17">
        <f>SUMIF(tblVendas[vendedor], K8, tblVendas[avaliacao])/P8</f>
        <v>3.5789473684210527</v>
      </c>
    </row>
    <row r="9" spans="1:17" ht="15.75" thickBot="1" x14ac:dyDescent="0.3">
      <c r="A9" s="1" t="s">
        <v>14</v>
      </c>
      <c r="B9" s="1" t="s">
        <v>10</v>
      </c>
      <c r="C9" s="1" t="s">
        <v>16</v>
      </c>
      <c r="D9">
        <v>3065</v>
      </c>
      <c r="E9">
        <v>2500</v>
      </c>
      <c r="F9">
        <v>1.23</v>
      </c>
      <c r="G9">
        <v>26</v>
      </c>
      <c r="H9">
        <v>183</v>
      </c>
      <c r="I9">
        <v>4</v>
      </c>
      <c r="K9" s="18" t="s">
        <v>28</v>
      </c>
      <c r="L9" s="19">
        <f>SUM(L4:L8)</f>
        <v>273851</v>
      </c>
      <c r="M9" s="19">
        <f>SUM(M4:M8)</f>
        <v>250000</v>
      </c>
      <c r="N9" s="20" t="str">
        <f t="shared" si="0"/>
        <v>Sim</v>
      </c>
      <c r="O9" s="21">
        <f>SUM(O4:O8)</f>
        <v>0.60000000000000009</v>
      </c>
      <c r="P9" s="22">
        <f>SUM(P4:P8)</f>
        <v>100</v>
      </c>
      <c r="Q9" s="23">
        <f>MEDIAN(Q4:Q8)</f>
        <v>3.6666666666666665</v>
      </c>
    </row>
    <row r="10" spans="1:17" x14ac:dyDescent="0.25">
      <c r="A10" s="1" t="s">
        <v>14</v>
      </c>
      <c r="B10" s="1" t="s">
        <v>20</v>
      </c>
      <c r="C10" s="1" t="s">
        <v>11</v>
      </c>
      <c r="D10">
        <v>1560</v>
      </c>
      <c r="E10">
        <v>2500</v>
      </c>
      <c r="F10">
        <v>0.62</v>
      </c>
      <c r="G10">
        <v>16</v>
      </c>
      <c r="H10">
        <v>131</v>
      </c>
      <c r="I10">
        <v>5</v>
      </c>
    </row>
    <row r="11" spans="1:17" x14ac:dyDescent="0.25">
      <c r="A11" s="1" t="s">
        <v>12</v>
      </c>
      <c r="B11" s="1" t="s">
        <v>20</v>
      </c>
      <c r="C11" s="1" t="s">
        <v>19</v>
      </c>
      <c r="D11">
        <v>2827</v>
      </c>
      <c r="E11">
        <v>2500</v>
      </c>
      <c r="F11">
        <v>1.1299999999999999</v>
      </c>
      <c r="G11">
        <v>55</v>
      </c>
      <c r="H11">
        <v>164</v>
      </c>
      <c r="I11">
        <v>4</v>
      </c>
      <c r="K11" s="4"/>
    </row>
    <row r="12" spans="1:17" x14ac:dyDescent="0.25">
      <c r="A12" s="1" t="s">
        <v>9</v>
      </c>
      <c r="B12" s="1" t="s">
        <v>13</v>
      </c>
      <c r="C12" s="1" t="s">
        <v>16</v>
      </c>
      <c r="D12">
        <v>3920</v>
      </c>
      <c r="E12">
        <v>2500</v>
      </c>
      <c r="F12">
        <v>1.57</v>
      </c>
      <c r="G12">
        <v>22</v>
      </c>
      <c r="H12">
        <v>96</v>
      </c>
      <c r="I12">
        <v>5</v>
      </c>
      <c r="K12" s="4" t="s">
        <v>34</v>
      </c>
    </row>
    <row r="13" spans="1:17" x14ac:dyDescent="0.25">
      <c r="A13" s="1" t="s">
        <v>14</v>
      </c>
      <c r="B13" s="1" t="s">
        <v>20</v>
      </c>
      <c r="C13" s="1" t="s">
        <v>16</v>
      </c>
      <c r="D13">
        <v>801</v>
      </c>
      <c r="E13">
        <v>2500</v>
      </c>
      <c r="F13">
        <v>0.32</v>
      </c>
      <c r="G13">
        <v>49</v>
      </c>
      <c r="H13">
        <v>59</v>
      </c>
      <c r="I13">
        <v>4</v>
      </c>
    </row>
    <row r="14" spans="1:17" x14ac:dyDescent="0.25">
      <c r="A14" s="1" t="s">
        <v>12</v>
      </c>
      <c r="B14" s="1" t="s">
        <v>18</v>
      </c>
      <c r="C14" s="1" t="s">
        <v>16</v>
      </c>
      <c r="D14">
        <v>50</v>
      </c>
      <c r="E14">
        <v>2500</v>
      </c>
      <c r="F14">
        <v>1.91</v>
      </c>
      <c r="G14">
        <v>51</v>
      </c>
      <c r="H14">
        <v>105</v>
      </c>
      <c r="I14">
        <v>3</v>
      </c>
    </row>
    <row r="15" spans="1:17" x14ac:dyDescent="0.25">
      <c r="A15" s="1" t="s">
        <v>17</v>
      </c>
      <c r="B15" s="1" t="s">
        <v>20</v>
      </c>
      <c r="C15" s="1" t="s">
        <v>11</v>
      </c>
      <c r="D15">
        <v>1106</v>
      </c>
      <c r="E15">
        <v>2500</v>
      </c>
      <c r="F15">
        <v>0.44</v>
      </c>
      <c r="G15">
        <v>18</v>
      </c>
      <c r="H15">
        <v>79</v>
      </c>
      <c r="I15">
        <v>5</v>
      </c>
    </row>
    <row r="16" spans="1:17" x14ac:dyDescent="0.25">
      <c r="A16" s="1" t="s">
        <v>9</v>
      </c>
      <c r="B16" s="1" t="s">
        <v>13</v>
      </c>
      <c r="C16" s="1" t="s">
        <v>16</v>
      </c>
      <c r="D16">
        <v>3670</v>
      </c>
      <c r="E16">
        <v>2500</v>
      </c>
      <c r="F16">
        <v>1.47</v>
      </c>
      <c r="G16">
        <v>59</v>
      </c>
      <c r="H16">
        <v>158</v>
      </c>
      <c r="I16">
        <v>3</v>
      </c>
    </row>
    <row r="17" spans="1:9" x14ac:dyDescent="0.25">
      <c r="A17" s="1" t="s">
        <v>17</v>
      </c>
      <c r="B17" s="1" t="s">
        <v>18</v>
      </c>
      <c r="C17" s="1" t="s">
        <v>16</v>
      </c>
      <c r="D17">
        <v>1199</v>
      </c>
      <c r="E17">
        <v>2500</v>
      </c>
      <c r="F17">
        <v>0.48</v>
      </c>
      <c r="G17">
        <v>36</v>
      </c>
      <c r="H17">
        <v>54</v>
      </c>
      <c r="I17">
        <v>3</v>
      </c>
    </row>
    <row r="18" spans="1:9" x14ac:dyDescent="0.25">
      <c r="A18" s="1" t="s">
        <v>9</v>
      </c>
      <c r="B18" s="1" t="s">
        <v>15</v>
      </c>
      <c r="C18" s="1" t="s">
        <v>16</v>
      </c>
      <c r="D18">
        <v>1639</v>
      </c>
      <c r="E18">
        <v>2500</v>
      </c>
      <c r="F18">
        <v>0.66</v>
      </c>
      <c r="G18">
        <v>75</v>
      </c>
      <c r="H18">
        <v>168</v>
      </c>
      <c r="I18">
        <v>1</v>
      </c>
    </row>
    <row r="19" spans="1:9" x14ac:dyDescent="0.25">
      <c r="A19" s="1" t="s">
        <v>12</v>
      </c>
      <c r="B19" s="1" t="s">
        <v>20</v>
      </c>
      <c r="C19" s="1" t="s">
        <v>16</v>
      </c>
      <c r="D19">
        <v>690</v>
      </c>
      <c r="E19">
        <v>2500</v>
      </c>
      <c r="F19">
        <v>0.28000000000000003</v>
      </c>
      <c r="G19">
        <v>14</v>
      </c>
      <c r="H19">
        <v>82</v>
      </c>
      <c r="I19">
        <v>4</v>
      </c>
    </row>
    <row r="20" spans="1:9" x14ac:dyDescent="0.25">
      <c r="A20" s="1" t="s">
        <v>21</v>
      </c>
      <c r="B20" s="1" t="s">
        <v>13</v>
      </c>
      <c r="C20" s="1" t="s">
        <v>19</v>
      </c>
      <c r="D20">
        <v>2800</v>
      </c>
      <c r="E20">
        <v>2500</v>
      </c>
      <c r="F20">
        <v>1.1200000000000001</v>
      </c>
      <c r="G20">
        <v>38</v>
      </c>
      <c r="H20">
        <v>167</v>
      </c>
      <c r="I20">
        <v>4</v>
      </c>
    </row>
    <row r="21" spans="1:9" x14ac:dyDescent="0.25">
      <c r="A21" s="1" t="s">
        <v>9</v>
      </c>
      <c r="B21" s="1" t="s">
        <v>15</v>
      </c>
      <c r="C21" s="1" t="s">
        <v>19</v>
      </c>
      <c r="D21">
        <v>1480</v>
      </c>
      <c r="E21">
        <v>2500</v>
      </c>
      <c r="F21">
        <v>0.59</v>
      </c>
      <c r="G21">
        <v>46</v>
      </c>
      <c r="H21">
        <v>114</v>
      </c>
      <c r="I21">
        <v>4</v>
      </c>
    </row>
    <row r="22" spans="1:9" x14ac:dyDescent="0.25">
      <c r="A22" s="1" t="s">
        <v>17</v>
      </c>
      <c r="B22" s="1" t="s">
        <v>15</v>
      </c>
      <c r="C22" s="1" t="s">
        <v>16</v>
      </c>
      <c r="D22">
        <v>3475</v>
      </c>
      <c r="E22">
        <v>2500</v>
      </c>
      <c r="F22">
        <v>1.39</v>
      </c>
      <c r="G22">
        <v>47</v>
      </c>
      <c r="H22">
        <v>195</v>
      </c>
      <c r="I22">
        <v>5</v>
      </c>
    </row>
    <row r="23" spans="1:9" x14ac:dyDescent="0.25">
      <c r="A23" s="1" t="s">
        <v>12</v>
      </c>
      <c r="B23" s="1" t="s">
        <v>10</v>
      </c>
      <c r="C23" s="1" t="s">
        <v>11</v>
      </c>
      <c r="D23">
        <v>1684</v>
      </c>
      <c r="E23">
        <v>2500</v>
      </c>
      <c r="F23">
        <v>0.67</v>
      </c>
      <c r="G23">
        <v>92</v>
      </c>
      <c r="H23">
        <v>60</v>
      </c>
      <c r="I23">
        <v>2</v>
      </c>
    </row>
    <row r="24" spans="1:9" x14ac:dyDescent="0.25">
      <c r="A24" s="1" t="s">
        <v>9</v>
      </c>
      <c r="B24" s="1" t="s">
        <v>18</v>
      </c>
      <c r="C24" s="1" t="s">
        <v>19</v>
      </c>
      <c r="D24">
        <v>3827</v>
      </c>
      <c r="E24">
        <v>2500</v>
      </c>
      <c r="F24">
        <v>1.53</v>
      </c>
      <c r="G24">
        <v>17</v>
      </c>
      <c r="H24">
        <v>134</v>
      </c>
      <c r="I24">
        <v>3</v>
      </c>
    </row>
    <row r="25" spans="1:9" x14ac:dyDescent="0.25">
      <c r="A25" s="1" t="s">
        <v>21</v>
      </c>
      <c r="B25" s="1" t="s">
        <v>20</v>
      </c>
      <c r="C25" s="1" t="s">
        <v>16</v>
      </c>
      <c r="D25">
        <v>3894</v>
      </c>
      <c r="E25">
        <v>2500</v>
      </c>
      <c r="F25">
        <v>1.56</v>
      </c>
      <c r="G25">
        <v>74</v>
      </c>
      <c r="H25">
        <v>75</v>
      </c>
      <c r="I25">
        <v>3</v>
      </c>
    </row>
    <row r="26" spans="1:9" x14ac:dyDescent="0.25">
      <c r="A26" s="1" t="s">
        <v>21</v>
      </c>
      <c r="B26" s="1" t="s">
        <v>13</v>
      </c>
      <c r="C26" s="1" t="s">
        <v>19</v>
      </c>
      <c r="D26">
        <v>627</v>
      </c>
      <c r="E26">
        <v>2500</v>
      </c>
      <c r="F26">
        <v>0.25</v>
      </c>
      <c r="G26">
        <v>95</v>
      </c>
      <c r="H26">
        <v>112</v>
      </c>
      <c r="I26">
        <v>2</v>
      </c>
    </row>
    <row r="27" spans="1:9" x14ac:dyDescent="0.25">
      <c r="A27" s="1" t="s">
        <v>14</v>
      </c>
      <c r="B27" s="1" t="s">
        <v>10</v>
      </c>
      <c r="C27" s="1" t="s">
        <v>19</v>
      </c>
      <c r="D27">
        <v>2565</v>
      </c>
      <c r="E27">
        <v>2500</v>
      </c>
      <c r="F27">
        <v>1.03</v>
      </c>
      <c r="G27">
        <v>26</v>
      </c>
      <c r="H27">
        <v>135</v>
      </c>
      <c r="I27">
        <v>4</v>
      </c>
    </row>
    <row r="28" spans="1:9" x14ac:dyDescent="0.25">
      <c r="A28" s="1" t="s">
        <v>14</v>
      </c>
      <c r="B28" s="1" t="s">
        <v>18</v>
      </c>
      <c r="C28" s="1" t="s">
        <v>11</v>
      </c>
      <c r="D28">
        <v>2316</v>
      </c>
      <c r="E28">
        <v>2500</v>
      </c>
      <c r="F28">
        <v>0.93</v>
      </c>
      <c r="G28">
        <v>80</v>
      </c>
      <c r="H28">
        <v>108</v>
      </c>
      <c r="I28">
        <v>4</v>
      </c>
    </row>
    <row r="29" spans="1:9" x14ac:dyDescent="0.25">
      <c r="A29" s="1" t="s">
        <v>17</v>
      </c>
      <c r="B29" s="1" t="s">
        <v>10</v>
      </c>
      <c r="C29" s="1" t="s">
        <v>16</v>
      </c>
      <c r="D29">
        <v>1069</v>
      </c>
      <c r="E29">
        <v>2500</v>
      </c>
      <c r="F29">
        <v>0.43</v>
      </c>
      <c r="G29">
        <v>98</v>
      </c>
      <c r="H29">
        <v>76</v>
      </c>
      <c r="I29">
        <v>4</v>
      </c>
    </row>
    <row r="30" spans="1:9" x14ac:dyDescent="0.25">
      <c r="A30" s="1" t="s">
        <v>9</v>
      </c>
      <c r="B30" s="1" t="s">
        <v>18</v>
      </c>
      <c r="C30" s="1" t="s">
        <v>16</v>
      </c>
      <c r="D30">
        <v>2395</v>
      </c>
      <c r="E30">
        <v>2500</v>
      </c>
      <c r="F30">
        <v>0.96</v>
      </c>
      <c r="G30">
        <v>54</v>
      </c>
      <c r="H30">
        <v>147</v>
      </c>
      <c r="I30">
        <v>3</v>
      </c>
    </row>
    <row r="31" spans="1:9" x14ac:dyDescent="0.25">
      <c r="A31" s="1" t="s">
        <v>9</v>
      </c>
      <c r="B31" s="1" t="s">
        <v>18</v>
      </c>
      <c r="C31" s="1" t="s">
        <v>11</v>
      </c>
      <c r="D31">
        <v>3233</v>
      </c>
      <c r="E31">
        <v>2500</v>
      </c>
      <c r="F31">
        <v>1.29</v>
      </c>
      <c r="G31">
        <v>13</v>
      </c>
      <c r="H31">
        <v>154</v>
      </c>
      <c r="I31">
        <v>4</v>
      </c>
    </row>
    <row r="32" spans="1:9" x14ac:dyDescent="0.25">
      <c r="A32" s="1" t="s">
        <v>14</v>
      </c>
      <c r="B32" s="1" t="s">
        <v>20</v>
      </c>
      <c r="C32" s="1" t="s">
        <v>11</v>
      </c>
      <c r="D32">
        <v>4363</v>
      </c>
      <c r="E32">
        <v>2500</v>
      </c>
      <c r="F32">
        <v>1.75</v>
      </c>
      <c r="G32">
        <v>45</v>
      </c>
      <c r="H32">
        <v>148</v>
      </c>
      <c r="I32">
        <v>1</v>
      </c>
    </row>
    <row r="33" spans="1:9" x14ac:dyDescent="0.25">
      <c r="A33" s="1" t="s">
        <v>9</v>
      </c>
      <c r="B33" s="1" t="s">
        <v>18</v>
      </c>
      <c r="C33" s="1" t="s">
        <v>16</v>
      </c>
      <c r="D33">
        <v>4514</v>
      </c>
      <c r="E33">
        <v>2500</v>
      </c>
      <c r="F33">
        <v>1.81</v>
      </c>
      <c r="G33">
        <v>79</v>
      </c>
      <c r="H33">
        <v>178</v>
      </c>
      <c r="I33">
        <v>5</v>
      </c>
    </row>
    <row r="34" spans="1:9" x14ac:dyDescent="0.25">
      <c r="A34" s="1" t="s">
        <v>9</v>
      </c>
      <c r="B34" s="1" t="s">
        <v>10</v>
      </c>
      <c r="C34" s="1" t="s">
        <v>16</v>
      </c>
      <c r="D34">
        <v>3401</v>
      </c>
      <c r="E34">
        <v>2500</v>
      </c>
      <c r="F34">
        <v>1.36</v>
      </c>
      <c r="G34">
        <v>40</v>
      </c>
      <c r="H34">
        <v>198</v>
      </c>
      <c r="I34">
        <v>2</v>
      </c>
    </row>
    <row r="35" spans="1:9" x14ac:dyDescent="0.25">
      <c r="A35" s="1" t="s">
        <v>21</v>
      </c>
      <c r="B35" s="1" t="s">
        <v>18</v>
      </c>
      <c r="C35" s="1" t="s">
        <v>11</v>
      </c>
      <c r="D35">
        <v>2186</v>
      </c>
      <c r="E35">
        <v>2500</v>
      </c>
      <c r="F35">
        <v>0.87</v>
      </c>
      <c r="G35">
        <v>28</v>
      </c>
      <c r="H35">
        <v>104</v>
      </c>
      <c r="I35">
        <v>4</v>
      </c>
    </row>
    <row r="36" spans="1:9" x14ac:dyDescent="0.25">
      <c r="A36" s="1" t="s">
        <v>14</v>
      </c>
      <c r="B36" s="1" t="s">
        <v>20</v>
      </c>
      <c r="C36" s="1" t="s">
        <v>19</v>
      </c>
      <c r="D36">
        <v>3509</v>
      </c>
      <c r="E36">
        <v>2500</v>
      </c>
      <c r="F36">
        <v>1.4</v>
      </c>
      <c r="G36">
        <v>70</v>
      </c>
      <c r="H36">
        <v>55</v>
      </c>
      <c r="I36">
        <v>5</v>
      </c>
    </row>
    <row r="37" spans="1:9" x14ac:dyDescent="0.25">
      <c r="A37" s="1" t="s">
        <v>12</v>
      </c>
      <c r="B37" s="1" t="s">
        <v>20</v>
      </c>
      <c r="C37" s="1" t="s">
        <v>19</v>
      </c>
      <c r="D37">
        <v>654</v>
      </c>
      <c r="E37">
        <v>2500</v>
      </c>
      <c r="F37">
        <v>0.26</v>
      </c>
      <c r="G37">
        <v>63</v>
      </c>
      <c r="H37">
        <v>144</v>
      </c>
      <c r="I37">
        <v>4</v>
      </c>
    </row>
    <row r="38" spans="1:9" x14ac:dyDescent="0.25">
      <c r="A38" s="1" t="s">
        <v>14</v>
      </c>
      <c r="B38" s="1" t="s">
        <v>10</v>
      </c>
      <c r="C38" s="1" t="s">
        <v>11</v>
      </c>
      <c r="D38">
        <v>3037</v>
      </c>
      <c r="E38">
        <v>2500</v>
      </c>
      <c r="F38">
        <v>1.21</v>
      </c>
      <c r="G38">
        <v>48</v>
      </c>
      <c r="H38">
        <v>182</v>
      </c>
      <c r="I38">
        <v>5</v>
      </c>
    </row>
    <row r="39" spans="1:9" x14ac:dyDescent="0.25">
      <c r="A39" s="1" t="s">
        <v>12</v>
      </c>
      <c r="B39" s="1" t="s">
        <v>15</v>
      </c>
      <c r="C39" s="1" t="s">
        <v>19</v>
      </c>
      <c r="D39">
        <v>1909</v>
      </c>
      <c r="E39">
        <v>2500</v>
      </c>
      <c r="F39">
        <v>0.76</v>
      </c>
      <c r="G39">
        <v>83</v>
      </c>
      <c r="H39">
        <v>151</v>
      </c>
      <c r="I39">
        <v>3</v>
      </c>
    </row>
    <row r="40" spans="1:9" x14ac:dyDescent="0.25">
      <c r="A40" s="1" t="s">
        <v>21</v>
      </c>
      <c r="B40" s="1" t="s">
        <v>15</v>
      </c>
      <c r="C40" s="1" t="s">
        <v>11</v>
      </c>
      <c r="D40">
        <v>4557</v>
      </c>
      <c r="E40">
        <v>2500</v>
      </c>
      <c r="F40">
        <v>1.82</v>
      </c>
      <c r="G40">
        <v>99</v>
      </c>
      <c r="H40">
        <v>52</v>
      </c>
      <c r="I40">
        <v>5</v>
      </c>
    </row>
    <row r="41" spans="1:9" x14ac:dyDescent="0.25">
      <c r="A41" s="1" t="s">
        <v>17</v>
      </c>
      <c r="B41" s="1" t="s">
        <v>18</v>
      </c>
      <c r="C41" s="1" t="s">
        <v>19</v>
      </c>
      <c r="D41">
        <v>1284</v>
      </c>
      <c r="E41">
        <v>2500</v>
      </c>
      <c r="F41">
        <v>0.51</v>
      </c>
      <c r="G41">
        <v>28</v>
      </c>
      <c r="H41">
        <v>72</v>
      </c>
      <c r="I41">
        <v>4</v>
      </c>
    </row>
    <row r="42" spans="1:9" x14ac:dyDescent="0.25">
      <c r="A42" s="1" t="s">
        <v>9</v>
      </c>
      <c r="B42" s="1" t="s">
        <v>13</v>
      </c>
      <c r="C42" s="1" t="s">
        <v>19</v>
      </c>
      <c r="D42">
        <v>3675</v>
      </c>
      <c r="E42">
        <v>2500</v>
      </c>
      <c r="F42">
        <v>1.47</v>
      </c>
      <c r="G42">
        <v>48</v>
      </c>
      <c r="H42">
        <v>102</v>
      </c>
      <c r="I42">
        <v>4</v>
      </c>
    </row>
    <row r="43" spans="1:9" x14ac:dyDescent="0.25">
      <c r="A43" s="1" t="s">
        <v>21</v>
      </c>
      <c r="B43" s="1" t="s">
        <v>18</v>
      </c>
      <c r="C43" s="1" t="s">
        <v>16</v>
      </c>
      <c r="D43">
        <v>4841</v>
      </c>
      <c r="E43">
        <v>2500</v>
      </c>
      <c r="F43">
        <v>1.94</v>
      </c>
      <c r="G43">
        <v>76</v>
      </c>
      <c r="H43">
        <v>132</v>
      </c>
      <c r="I43">
        <v>2</v>
      </c>
    </row>
    <row r="44" spans="1:9" x14ac:dyDescent="0.25">
      <c r="A44" s="1" t="s">
        <v>9</v>
      </c>
      <c r="B44" s="1" t="s">
        <v>10</v>
      </c>
      <c r="C44" s="1" t="s">
        <v>16</v>
      </c>
      <c r="D44">
        <v>3306</v>
      </c>
      <c r="E44">
        <v>2500</v>
      </c>
      <c r="F44">
        <v>1.32</v>
      </c>
      <c r="G44">
        <v>54</v>
      </c>
      <c r="H44">
        <v>194</v>
      </c>
      <c r="I44">
        <v>2</v>
      </c>
    </row>
    <row r="45" spans="1:9" x14ac:dyDescent="0.25">
      <c r="A45" s="1" t="s">
        <v>17</v>
      </c>
      <c r="B45" s="1" t="s">
        <v>10</v>
      </c>
      <c r="C45" s="1" t="s">
        <v>19</v>
      </c>
      <c r="D45">
        <v>1037</v>
      </c>
      <c r="E45">
        <v>2500</v>
      </c>
      <c r="F45">
        <v>0.41</v>
      </c>
      <c r="G45">
        <v>22</v>
      </c>
      <c r="H45">
        <v>134</v>
      </c>
      <c r="I45">
        <v>2</v>
      </c>
    </row>
    <row r="46" spans="1:9" x14ac:dyDescent="0.25">
      <c r="A46" s="1" t="s">
        <v>17</v>
      </c>
      <c r="B46" s="1" t="s">
        <v>10</v>
      </c>
      <c r="C46" s="1" t="s">
        <v>19</v>
      </c>
      <c r="D46">
        <v>2341</v>
      </c>
      <c r="E46">
        <v>2500</v>
      </c>
      <c r="F46">
        <v>0.94</v>
      </c>
      <c r="G46">
        <v>67</v>
      </c>
      <c r="H46">
        <v>127</v>
      </c>
      <c r="I46">
        <v>4</v>
      </c>
    </row>
    <row r="47" spans="1:9" x14ac:dyDescent="0.25">
      <c r="A47" s="1" t="s">
        <v>21</v>
      </c>
      <c r="B47" s="1" t="s">
        <v>10</v>
      </c>
      <c r="C47" s="1" t="s">
        <v>16</v>
      </c>
      <c r="D47">
        <v>2955</v>
      </c>
      <c r="E47">
        <v>2500</v>
      </c>
      <c r="F47">
        <v>1.18</v>
      </c>
      <c r="G47">
        <v>29</v>
      </c>
      <c r="H47">
        <v>159</v>
      </c>
      <c r="I47">
        <v>5</v>
      </c>
    </row>
    <row r="48" spans="1:9" x14ac:dyDescent="0.25">
      <c r="A48" s="1" t="s">
        <v>17</v>
      </c>
      <c r="B48" s="1" t="s">
        <v>10</v>
      </c>
      <c r="C48" s="1" t="s">
        <v>16</v>
      </c>
      <c r="D48">
        <v>1024</v>
      </c>
      <c r="E48">
        <v>2500</v>
      </c>
      <c r="F48">
        <v>0.41</v>
      </c>
      <c r="G48">
        <v>81</v>
      </c>
      <c r="H48">
        <v>50</v>
      </c>
      <c r="I48">
        <v>4</v>
      </c>
    </row>
    <row r="49" spans="1:9" x14ac:dyDescent="0.25">
      <c r="A49" s="1" t="s">
        <v>12</v>
      </c>
      <c r="B49" s="1" t="s">
        <v>20</v>
      </c>
      <c r="C49" s="1" t="s">
        <v>16</v>
      </c>
      <c r="D49">
        <v>3450</v>
      </c>
      <c r="E49">
        <v>2500</v>
      </c>
      <c r="F49">
        <v>1.38</v>
      </c>
      <c r="G49">
        <v>70</v>
      </c>
      <c r="H49">
        <v>100</v>
      </c>
      <c r="I49">
        <v>1</v>
      </c>
    </row>
    <row r="50" spans="1:9" x14ac:dyDescent="0.25">
      <c r="A50" s="1" t="s">
        <v>17</v>
      </c>
      <c r="B50" s="1" t="s">
        <v>15</v>
      </c>
      <c r="C50" s="1" t="s">
        <v>11</v>
      </c>
      <c r="D50">
        <v>4631</v>
      </c>
      <c r="E50">
        <v>2500</v>
      </c>
      <c r="F50">
        <v>1.85</v>
      </c>
      <c r="G50">
        <v>48</v>
      </c>
      <c r="H50">
        <v>53</v>
      </c>
      <c r="I50">
        <v>5</v>
      </c>
    </row>
    <row r="51" spans="1:9" x14ac:dyDescent="0.25">
      <c r="A51" s="1" t="s">
        <v>9</v>
      </c>
      <c r="B51" s="1" t="s">
        <v>10</v>
      </c>
      <c r="C51" s="1" t="s">
        <v>19</v>
      </c>
      <c r="D51">
        <v>4615</v>
      </c>
      <c r="E51">
        <v>2500</v>
      </c>
      <c r="F51">
        <v>1.85</v>
      </c>
      <c r="G51">
        <v>10</v>
      </c>
      <c r="H51">
        <v>162</v>
      </c>
      <c r="I51">
        <v>4</v>
      </c>
    </row>
    <row r="52" spans="1:9" x14ac:dyDescent="0.25">
      <c r="A52" s="1" t="s">
        <v>9</v>
      </c>
      <c r="B52" s="1" t="s">
        <v>13</v>
      </c>
      <c r="C52" s="1" t="s">
        <v>16</v>
      </c>
      <c r="D52">
        <v>2868</v>
      </c>
      <c r="E52">
        <v>2500</v>
      </c>
      <c r="F52">
        <v>1.1499999999999999</v>
      </c>
      <c r="G52">
        <v>12</v>
      </c>
      <c r="H52">
        <v>81</v>
      </c>
      <c r="I52">
        <v>4</v>
      </c>
    </row>
    <row r="53" spans="1:9" x14ac:dyDescent="0.25">
      <c r="A53" s="1" t="s">
        <v>9</v>
      </c>
      <c r="B53" s="1" t="s">
        <v>13</v>
      </c>
      <c r="C53" s="1" t="s">
        <v>19</v>
      </c>
      <c r="D53">
        <v>4347</v>
      </c>
      <c r="E53">
        <v>2500</v>
      </c>
      <c r="F53">
        <v>1.74</v>
      </c>
      <c r="G53">
        <v>86</v>
      </c>
      <c r="H53">
        <v>83</v>
      </c>
      <c r="I53">
        <v>2</v>
      </c>
    </row>
    <row r="54" spans="1:9" x14ac:dyDescent="0.25">
      <c r="A54" s="1" t="s">
        <v>9</v>
      </c>
      <c r="B54" s="1" t="s">
        <v>13</v>
      </c>
      <c r="C54" s="1" t="s">
        <v>11</v>
      </c>
      <c r="D54">
        <v>4995</v>
      </c>
      <c r="E54">
        <v>2500</v>
      </c>
      <c r="F54">
        <v>2</v>
      </c>
      <c r="G54">
        <v>71</v>
      </c>
      <c r="H54">
        <v>141</v>
      </c>
      <c r="I54">
        <v>4</v>
      </c>
    </row>
    <row r="55" spans="1:9" x14ac:dyDescent="0.25">
      <c r="A55" s="1" t="s">
        <v>12</v>
      </c>
      <c r="B55" s="1" t="s">
        <v>13</v>
      </c>
      <c r="C55" s="1" t="s">
        <v>11</v>
      </c>
      <c r="D55">
        <v>3201</v>
      </c>
      <c r="E55">
        <v>2500</v>
      </c>
      <c r="F55">
        <v>1.28</v>
      </c>
      <c r="G55">
        <v>72</v>
      </c>
      <c r="H55">
        <v>144</v>
      </c>
      <c r="I55">
        <v>3</v>
      </c>
    </row>
    <row r="56" spans="1:9" x14ac:dyDescent="0.25">
      <c r="A56" s="1" t="s">
        <v>14</v>
      </c>
      <c r="B56" s="1" t="s">
        <v>20</v>
      </c>
      <c r="C56" s="1" t="s">
        <v>16</v>
      </c>
      <c r="D56">
        <v>1471</v>
      </c>
      <c r="E56">
        <v>2500</v>
      </c>
      <c r="F56">
        <v>0.59</v>
      </c>
      <c r="G56">
        <v>34</v>
      </c>
      <c r="H56">
        <v>121</v>
      </c>
      <c r="I56">
        <v>4</v>
      </c>
    </row>
    <row r="57" spans="1:9" x14ac:dyDescent="0.25">
      <c r="A57" s="1" t="s">
        <v>21</v>
      </c>
      <c r="B57" s="1" t="s">
        <v>13</v>
      </c>
      <c r="C57" s="1" t="s">
        <v>11</v>
      </c>
      <c r="D57">
        <v>1666</v>
      </c>
      <c r="E57">
        <v>2500</v>
      </c>
      <c r="F57">
        <v>0.67</v>
      </c>
      <c r="G57">
        <v>65</v>
      </c>
      <c r="H57">
        <v>88</v>
      </c>
      <c r="I57">
        <v>5</v>
      </c>
    </row>
    <row r="58" spans="1:9" x14ac:dyDescent="0.25">
      <c r="A58" s="1" t="s">
        <v>9</v>
      </c>
      <c r="B58" s="1" t="s">
        <v>10</v>
      </c>
      <c r="C58" s="1" t="s">
        <v>19</v>
      </c>
      <c r="D58">
        <v>3274</v>
      </c>
      <c r="E58">
        <v>2500</v>
      </c>
      <c r="F58">
        <v>1.31</v>
      </c>
      <c r="G58">
        <v>42</v>
      </c>
      <c r="H58">
        <v>167</v>
      </c>
      <c r="I58">
        <v>2</v>
      </c>
    </row>
    <row r="59" spans="1:9" x14ac:dyDescent="0.25">
      <c r="A59" s="1" t="s">
        <v>17</v>
      </c>
      <c r="B59" s="1" t="s">
        <v>18</v>
      </c>
      <c r="C59" s="1" t="s">
        <v>16</v>
      </c>
      <c r="D59">
        <v>2482</v>
      </c>
      <c r="E59">
        <v>2500</v>
      </c>
      <c r="F59">
        <v>0.99</v>
      </c>
      <c r="G59">
        <v>47</v>
      </c>
      <c r="H59">
        <v>52</v>
      </c>
      <c r="I59">
        <v>4</v>
      </c>
    </row>
    <row r="60" spans="1:9" x14ac:dyDescent="0.25">
      <c r="A60" s="1" t="s">
        <v>9</v>
      </c>
      <c r="B60" s="1" t="s">
        <v>13</v>
      </c>
      <c r="C60" s="1" t="s">
        <v>19</v>
      </c>
      <c r="D60">
        <v>1353</v>
      </c>
      <c r="E60">
        <v>2500</v>
      </c>
      <c r="F60">
        <v>0.54</v>
      </c>
      <c r="G60">
        <v>15</v>
      </c>
      <c r="H60">
        <v>172</v>
      </c>
      <c r="I60">
        <v>3</v>
      </c>
    </row>
    <row r="61" spans="1:9" x14ac:dyDescent="0.25">
      <c r="A61" s="1" t="s">
        <v>17</v>
      </c>
      <c r="B61" s="1" t="s">
        <v>20</v>
      </c>
      <c r="C61" s="1" t="s">
        <v>19</v>
      </c>
      <c r="D61">
        <v>4646</v>
      </c>
      <c r="E61">
        <v>2500</v>
      </c>
      <c r="F61">
        <v>1.86</v>
      </c>
      <c r="G61">
        <v>67</v>
      </c>
      <c r="H61">
        <v>99</v>
      </c>
      <c r="I61">
        <v>3</v>
      </c>
    </row>
    <row r="62" spans="1:9" x14ac:dyDescent="0.25">
      <c r="A62" s="1" t="s">
        <v>17</v>
      </c>
      <c r="B62" s="1" t="s">
        <v>20</v>
      </c>
      <c r="C62" s="1" t="s">
        <v>11</v>
      </c>
      <c r="D62">
        <v>4236</v>
      </c>
      <c r="E62">
        <v>2500</v>
      </c>
      <c r="F62">
        <v>1.69</v>
      </c>
      <c r="G62">
        <v>53</v>
      </c>
      <c r="H62">
        <v>61</v>
      </c>
      <c r="I62">
        <v>4</v>
      </c>
    </row>
    <row r="63" spans="1:9" x14ac:dyDescent="0.25">
      <c r="A63" s="1" t="s">
        <v>9</v>
      </c>
      <c r="B63" s="1" t="s">
        <v>13</v>
      </c>
      <c r="C63" s="1" t="s">
        <v>11</v>
      </c>
      <c r="D63">
        <v>4269</v>
      </c>
      <c r="E63">
        <v>2500</v>
      </c>
      <c r="F63">
        <v>1.71</v>
      </c>
      <c r="G63">
        <v>54</v>
      </c>
      <c r="H63">
        <v>103</v>
      </c>
      <c r="I63">
        <v>4</v>
      </c>
    </row>
    <row r="64" spans="1:9" x14ac:dyDescent="0.25">
      <c r="A64" s="1" t="s">
        <v>12</v>
      </c>
      <c r="B64" s="1" t="s">
        <v>18</v>
      </c>
      <c r="C64" s="1" t="s">
        <v>11</v>
      </c>
      <c r="D64">
        <v>1074</v>
      </c>
      <c r="E64">
        <v>2500</v>
      </c>
      <c r="F64">
        <v>0.43</v>
      </c>
      <c r="G64">
        <v>41</v>
      </c>
      <c r="H64">
        <v>182</v>
      </c>
      <c r="I64">
        <v>4</v>
      </c>
    </row>
    <row r="65" spans="1:9" x14ac:dyDescent="0.25">
      <c r="A65" s="1" t="s">
        <v>17</v>
      </c>
      <c r="B65" s="1" t="s">
        <v>13</v>
      </c>
      <c r="C65" s="1" t="s">
        <v>11</v>
      </c>
      <c r="D65">
        <v>3761</v>
      </c>
      <c r="E65">
        <v>2500</v>
      </c>
      <c r="F65">
        <v>1.5</v>
      </c>
      <c r="G65">
        <v>54</v>
      </c>
      <c r="H65">
        <v>106</v>
      </c>
      <c r="I65">
        <v>4</v>
      </c>
    </row>
    <row r="66" spans="1:9" x14ac:dyDescent="0.25">
      <c r="A66" s="1" t="s">
        <v>17</v>
      </c>
      <c r="B66" s="1" t="s">
        <v>20</v>
      </c>
      <c r="C66" s="1" t="s">
        <v>11</v>
      </c>
      <c r="D66">
        <v>1648</v>
      </c>
      <c r="E66">
        <v>2500</v>
      </c>
      <c r="F66">
        <v>0.66</v>
      </c>
      <c r="G66">
        <v>70</v>
      </c>
      <c r="H66">
        <v>194</v>
      </c>
      <c r="I66">
        <v>4</v>
      </c>
    </row>
    <row r="67" spans="1:9" x14ac:dyDescent="0.25">
      <c r="A67" s="1" t="s">
        <v>9</v>
      </c>
      <c r="B67" s="1" t="s">
        <v>15</v>
      </c>
      <c r="C67" s="1" t="s">
        <v>16</v>
      </c>
      <c r="D67">
        <v>2215</v>
      </c>
      <c r="E67">
        <v>2500</v>
      </c>
      <c r="F67">
        <v>0.89</v>
      </c>
      <c r="G67">
        <v>56</v>
      </c>
      <c r="H67">
        <v>161</v>
      </c>
      <c r="I67">
        <v>4</v>
      </c>
    </row>
    <row r="68" spans="1:9" x14ac:dyDescent="0.25">
      <c r="A68" s="1" t="s">
        <v>17</v>
      </c>
      <c r="B68" s="1" t="s">
        <v>10</v>
      </c>
      <c r="C68" s="1" t="s">
        <v>19</v>
      </c>
      <c r="D68">
        <v>4354</v>
      </c>
      <c r="E68">
        <v>2500</v>
      </c>
      <c r="F68">
        <v>1.74</v>
      </c>
      <c r="G68">
        <v>30</v>
      </c>
      <c r="H68">
        <v>96</v>
      </c>
      <c r="I68">
        <v>4</v>
      </c>
    </row>
    <row r="69" spans="1:9" x14ac:dyDescent="0.25">
      <c r="A69" s="1" t="s">
        <v>17</v>
      </c>
      <c r="B69" s="1" t="s">
        <v>20</v>
      </c>
      <c r="C69" s="1" t="s">
        <v>19</v>
      </c>
      <c r="D69">
        <v>2991</v>
      </c>
      <c r="E69">
        <v>2500</v>
      </c>
      <c r="F69">
        <v>1.2</v>
      </c>
      <c r="G69">
        <v>89</v>
      </c>
      <c r="H69">
        <v>134</v>
      </c>
      <c r="I69">
        <v>4</v>
      </c>
    </row>
    <row r="70" spans="1:9" x14ac:dyDescent="0.25">
      <c r="A70" s="1" t="s">
        <v>9</v>
      </c>
      <c r="B70" s="1" t="s">
        <v>13</v>
      </c>
      <c r="C70" s="1" t="s">
        <v>19</v>
      </c>
      <c r="D70">
        <v>3160</v>
      </c>
      <c r="E70">
        <v>2500</v>
      </c>
      <c r="F70">
        <v>1.26</v>
      </c>
      <c r="G70">
        <v>94</v>
      </c>
      <c r="H70">
        <v>191</v>
      </c>
      <c r="I70">
        <v>4</v>
      </c>
    </row>
    <row r="71" spans="1:9" x14ac:dyDescent="0.25">
      <c r="A71" s="1" t="s">
        <v>9</v>
      </c>
      <c r="B71" s="1" t="s">
        <v>10</v>
      </c>
      <c r="C71" s="1" t="s">
        <v>19</v>
      </c>
      <c r="D71">
        <v>3624</v>
      </c>
      <c r="E71">
        <v>2500</v>
      </c>
      <c r="F71">
        <v>1.45</v>
      </c>
      <c r="G71">
        <v>84</v>
      </c>
      <c r="H71">
        <v>115</v>
      </c>
      <c r="I71">
        <v>4</v>
      </c>
    </row>
    <row r="72" spans="1:9" x14ac:dyDescent="0.25">
      <c r="A72" s="1" t="s">
        <v>21</v>
      </c>
      <c r="B72" s="1" t="s">
        <v>13</v>
      </c>
      <c r="C72" s="1" t="s">
        <v>11</v>
      </c>
      <c r="D72">
        <v>3551</v>
      </c>
      <c r="E72">
        <v>2500</v>
      </c>
      <c r="F72">
        <v>1.42</v>
      </c>
      <c r="G72">
        <v>45</v>
      </c>
      <c r="H72">
        <v>124</v>
      </c>
      <c r="I72">
        <v>3</v>
      </c>
    </row>
    <row r="73" spans="1:9" x14ac:dyDescent="0.25">
      <c r="A73" s="1" t="s">
        <v>12</v>
      </c>
      <c r="B73" s="1" t="s">
        <v>13</v>
      </c>
      <c r="C73" s="1" t="s">
        <v>19</v>
      </c>
      <c r="D73">
        <v>504</v>
      </c>
      <c r="E73">
        <v>2500</v>
      </c>
      <c r="F73">
        <v>0.2</v>
      </c>
      <c r="G73">
        <v>28</v>
      </c>
      <c r="H73">
        <v>152</v>
      </c>
      <c r="I73">
        <v>5</v>
      </c>
    </row>
    <row r="74" spans="1:9" x14ac:dyDescent="0.25">
      <c r="A74" s="1" t="s">
        <v>12</v>
      </c>
      <c r="B74" s="1" t="s">
        <v>15</v>
      </c>
      <c r="C74" s="1" t="s">
        <v>16</v>
      </c>
      <c r="D74">
        <v>1376</v>
      </c>
      <c r="E74">
        <v>2500</v>
      </c>
      <c r="F74">
        <v>0.55000000000000004</v>
      </c>
      <c r="G74">
        <v>29</v>
      </c>
      <c r="H74">
        <v>87</v>
      </c>
      <c r="I74">
        <v>4</v>
      </c>
    </row>
    <row r="75" spans="1:9" x14ac:dyDescent="0.25">
      <c r="A75" s="1" t="s">
        <v>17</v>
      </c>
      <c r="B75" s="1" t="s">
        <v>10</v>
      </c>
      <c r="C75" s="1" t="s">
        <v>16</v>
      </c>
      <c r="D75">
        <v>1491</v>
      </c>
      <c r="E75">
        <v>2500</v>
      </c>
      <c r="F75">
        <v>0.6</v>
      </c>
      <c r="G75">
        <v>66</v>
      </c>
      <c r="H75">
        <v>99</v>
      </c>
      <c r="I75">
        <v>3</v>
      </c>
    </row>
    <row r="76" spans="1:9" x14ac:dyDescent="0.25">
      <c r="A76" s="1" t="s">
        <v>12</v>
      </c>
      <c r="B76" s="1" t="s">
        <v>10</v>
      </c>
      <c r="C76" s="1" t="s">
        <v>19</v>
      </c>
      <c r="D76">
        <v>4642</v>
      </c>
      <c r="E76">
        <v>2500</v>
      </c>
      <c r="F76">
        <v>1.86</v>
      </c>
      <c r="G76">
        <v>27</v>
      </c>
      <c r="H76">
        <v>147</v>
      </c>
      <c r="I76">
        <v>4</v>
      </c>
    </row>
    <row r="77" spans="1:9" x14ac:dyDescent="0.25">
      <c r="A77" s="1" t="s">
        <v>17</v>
      </c>
      <c r="B77" s="1" t="s">
        <v>15</v>
      </c>
      <c r="C77" s="1" t="s">
        <v>19</v>
      </c>
      <c r="D77">
        <v>4864</v>
      </c>
      <c r="E77">
        <v>2500</v>
      </c>
      <c r="F77">
        <v>1.95</v>
      </c>
      <c r="G77">
        <v>56</v>
      </c>
      <c r="H77">
        <v>131</v>
      </c>
      <c r="I77">
        <v>3</v>
      </c>
    </row>
    <row r="78" spans="1:9" x14ac:dyDescent="0.25">
      <c r="A78" s="1" t="s">
        <v>21</v>
      </c>
      <c r="B78" s="1" t="s">
        <v>20</v>
      </c>
      <c r="C78" s="1" t="s">
        <v>16</v>
      </c>
      <c r="D78">
        <v>4965</v>
      </c>
      <c r="E78">
        <v>2500</v>
      </c>
      <c r="F78">
        <v>1.99</v>
      </c>
      <c r="G78">
        <v>58</v>
      </c>
      <c r="H78">
        <v>79</v>
      </c>
      <c r="I78">
        <v>5</v>
      </c>
    </row>
    <row r="79" spans="1:9" x14ac:dyDescent="0.25">
      <c r="A79" s="1" t="s">
        <v>9</v>
      </c>
      <c r="B79" s="1" t="s">
        <v>13</v>
      </c>
      <c r="C79" s="1" t="s">
        <v>16</v>
      </c>
      <c r="D79">
        <v>1135</v>
      </c>
      <c r="E79">
        <v>2500</v>
      </c>
      <c r="F79">
        <v>0.45</v>
      </c>
      <c r="G79">
        <v>23</v>
      </c>
      <c r="H79">
        <v>128</v>
      </c>
      <c r="I79">
        <v>1</v>
      </c>
    </row>
    <row r="80" spans="1:9" x14ac:dyDescent="0.25">
      <c r="A80" s="1" t="s">
        <v>9</v>
      </c>
      <c r="B80" s="1" t="s">
        <v>18</v>
      </c>
      <c r="C80" s="1" t="s">
        <v>11</v>
      </c>
      <c r="D80">
        <v>2193</v>
      </c>
      <c r="E80">
        <v>2500</v>
      </c>
      <c r="F80">
        <v>0.88</v>
      </c>
      <c r="G80">
        <v>24</v>
      </c>
      <c r="H80">
        <v>140</v>
      </c>
      <c r="I80">
        <v>3</v>
      </c>
    </row>
    <row r="81" spans="1:9" x14ac:dyDescent="0.25">
      <c r="A81" s="1" t="s">
        <v>9</v>
      </c>
      <c r="B81" s="1" t="s">
        <v>13</v>
      </c>
      <c r="C81" s="1" t="s">
        <v>16</v>
      </c>
      <c r="D81">
        <v>2182</v>
      </c>
      <c r="E81">
        <v>2500</v>
      </c>
      <c r="F81">
        <v>0.87</v>
      </c>
      <c r="G81">
        <v>40</v>
      </c>
      <c r="H81">
        <v>101</v>
      </c>
      <c r="I81">
        <v>4</v>
      </c>
    </row>
    <row r="82" spans="1:9" x14ac:dyDescent="0.25">
      <c r="A82" s="1" t="s">
        <v>12</v>
      </c>
      <c r="B82" s="1" t="s">
        <v>13</v>
      </c>
      <c r="C82" s="1" t="s">
        <v>11</v>
      </c>
      <c r="D82">
        <v>619</v>
      </c>
      <c r="E82">
        <v>2500</v>
      </c>
      <c r="F82">
        <v>0.25</v>
      </c>
      <c r="G82">
        <v>10</v>
      </c>
      <c r="H82">
        <v>128</v>
      </c>
      <c r="I82">
        <v>4</v>
      </c>
    </row>
    <row r="83" spans="1:9" x14ac:dyDescent="0.25">
      <c r="A83" s="1" t="s">
        <v>21</v>
      </c>
      <c r="B83" s="1" t="s">
        <v>20</v>
      </c>
      <c r="C83" s="1" t="s">
        <v>11</v>
      </c>
      <c r="D83">
        <v>1330</v>
      </c>
      <c r="E83">
        <v>2500</v>
      </c>
      <c r="F83">
        <v>0.53</v>
      </c>
      <c r="G83">
        <v>63</v>
      </c>
      <c r="H83">
        <v>79</v>
      </c>
      <c r="I83">
        <v>5</v>
      </c>
    </row>
    <row r="84" spans="1:9" x14ac:dyDescent="0.25">
      <c r="A84" s="1" t="s">
        <v>12</v>
      </c>
      <c r="B84" s="1" t="s">
        <v>13</v>
      </c>
      <c r="C84" s="1" t="s">
        <v>11</v>
      </c>
      <c r="D84">
        <v>4175</v>
      </c>
      <c r="E84">
        <v>2500</v>
      </c>
      <c r="F84">
        <v>1.67</v>
      </c>
      <c r="G84">
        <v>12</v>
      </c>
      <c r="H84">
        <v>155</v>
      </c>
      <c r="I84">
        <v>2</v>
      </c>
    </row>
    <row r="85" spans="1:9" x14ac:dyDescent="0.25">
      <c r="A85" s="1" t="s">
        <v>12</v>
      </c>
      <c r="B85" s="1" t="s">
        <v>15</v>
      </c>
      <c r="C85" s="1" t="s">
        <v>11</v>
      </c>
      <c r="D85">
        <v>1869</v>
      </c>
      <c r="E85">
        <v>2500</v>
      </c>
      <c r="F85">
        <v>0.75</v>
      </c>
      <c r="G85">
        <v>25</v>
      </c>
      <c r="H85">
        <v>100</v>
      </c>
      <c r="I85">
        <v>5</v>
      </c>
    </row>
    <row r="86" spans="1:9" x14ac:dyDescent="0.25">
      <c r="A86" s="1" t="s">
        <v>21</v>
      </c>
      <c r="B86" s="1" t="s">
        <v>15</v>
      </c>
      <c r="C86" s="1" t="s">
        <v>11</v>
      </c>
      <c r="D86">
        <v>1240</v>
      </c>
      <c r="E86">
        <v>2500</v>
      </c>
      <c r="F86">
        <v>0.5</v>
      </c>
      <c r="G86">
        <v>96</v>
      </c>
      <c r="H86">
        <v>130</v>
      </c>
      <c r="I86">
        <v>2</v>
      </c>
    </row>
    <row r="87" spans="1:9" x14ac:dyDescent="0.25">
      <c r="A87" s="1" t="s">
        <v>21</v>
      </c>
      <c r="B87" s="1" t="s">
        <v>10</v>
      </c>
      <c r="C87" s="1" t="s">
        <v>19</v>
      </c>
      <c r="D87">
        <v>616</v>
      </c>
      <c r="E87">
        <v>2500</v>
      </c>
      <c r="F87">
        <v>0.25</v>
      </c>
      <c r="G87">
        <v>66</v>
      </c>
      <c r="H87">
        <v>182</v>
      </c>
      <c r="I87">
        <v>5</v>
      </c>
    </row>
    <row r="88" spans="1:9" x14ac:dyDescent="0.25">
      <c r="A88" s="1" t="s">
        <v>21</v>
      </c>
      <c r="B88" s="1" t="s">
        <v>18</v>
      </c>
      <c r="C88" s="1" t="s">
        <v>16</v>
      </c>
      <c r="D88">
        <v>3338</v>
      </c>
      <c r="E88">
        <v>2500</v>
      </c>
      <c r="F88">
        <v>1.34</v>
      </c>
      <c r="G88">
        <v>84</v>
      </c>
      <c r="H88">
        <v>78</v>
      </c>
      <c r="I88">
        <v>2</v>
      </c>
    </row>
    <row r="89" spans="1:9" x14ac:dyDescent="0.25">
      <c r="A89" s="1" t="s">
        <v>21</v>
      </c>
      <c r="B89" s="1" t="s">
        <v>13</v>
      </c>
      <c r="C89" s="1" t="s">
        <v>11</v>
      </c>
      <c r="D89">
        <v>1650</v>
      </c>
      <c r="E89">
        <v>2500</v>
      </c>
      <c r="F89">
        <v>0.66</v>
      </c>
      <c r="G89">
        <v>21</v>
      </c>
      <c r="H89">
        <v>181</v>
      </c>
      <c r="I89">
        <v>1</v>
      </c>
    </row>
    <row r="90" spans="1:9" x14ac:dyDescent="0.25">
      <c r="A90" s="1" t="s">
        <v>9</v>
      </c>
      <c r="B90" s="1" t="s">
        <v>13</v>
      </c>
      <c r="C90" s="1" t="s">
        <v>16</v>
      </c>
      <c r="D90">
        <v>2431</v>
      </c>
      <c r="E90">
        <v>2500</v>
      </c>
      <c r="F90">
        <v>0.97</v>
      </c>
      <c r="G90">
        <v>83</v>
      </c>
      <c r="H90">
        <v>187</v>
      </c>
      <c r="I90">
        <v>4</v>
      </c>
    </row>
    <row r="91" spans="1:9" x14ac:dyDescent="0.25">
      <c r="A91" s="1" t="s">
        <v>14</v>
      </c>
      <c r="B91" s="1" t="s">
        <v>20</v>
      </c>
      <c r="C91" s="1" t="s">
        <v>16</v>
      </c>
      <c r="D91">
        <v>1512</v>
      </c>
      <c r="E91">
        <v>2500</v>
      </c>
      <c r="F91">
        <v>0.6</v>
      </c>
      <c r="G91">
        <v>25</v>
      </c>
      <c r="H91">
        <v>194</v>
      </c>
      <c r="I91">
        <v>5</v>
      </c>
    </row>
    <row r="92" spans="1:9" x14ac:dyDescent="0.25">
      <c r="A92" s="1" t="s">
        <v>14</v>
      </c>
      <c r="B92" s="1" t="s">
        <v>15</v>
      </c>
      <c r="C92" s="1" t="s">
        <v>11</v>
      </c>
      <c r="D92">
        <v>2164</v>
      </c>
      <c r="E92">
        <v>2500</v>
      </c>
      <c r="F92">
        <v>0.87</v>
      </c>
      <c r="G92">
        <v>81</v>
      </c>
      <c r="H92">
        <v>123</v>
      </c>
      <c r="I92">
        <v>5</v>
      </c>
    </row>
    <row r="93" spans="1:9" x14ac:dyDescent="0.25">
      <c r="A93" s="1" t="s">
        <v>21</v>
      </c>
      <c r="B93" s="1" t="s">
        <v>18</v>
      </c>
      <c r="C93" s="1" t="s">
        <v>19</v>
      </c>
      <c r="D93">
        <v>1581</v>
      </c>
      <c r="E93">
        <v>2500</v>
      </c>
      <c r="F93">
        <v>0.63</v>
      </c>
      <c r="G93">
        <v>85</v>
      </c>
      <c r="H93">
        <v>66</v>
      </c>
      <c r="I93">
        <v>4</v>
      </c>
    </row>
    <row r="94" spans="1:9" x14ac:dyDescent="0.25">
      <c r="A94" s="1" t="s">
        <v>14</v>
      </c>
      <c r="B94" s="1" t="s">
        <v>10</v>
      </c>
      <c r="C94" s="1" t="s">
        <v>11</v>
      </c>
      <c r="D94">
        <v>1012</v>
      </c>
      <c r="E94">
        <v>2500</v>
      </c>
      <c r="F94">
        <v>0.4</v>
      </c>
      <c r="G94">
        <v>33</v>
      </c>
      <c r="H94">
        <v>133</v>
      </c>
      <c r="I94">
        <v>5</v>
      </c>
    </row>
    <row r="95" spans="1:9" x14ac:dyDescent="0.25">
      <c r="A95" s="1" t="s">
        <v>14</v>
      </c>
      <c r="B95" s="1" t="s">
        <v>15</v>
      </c>
      <c r="C95" s="1" t="s">
        <v>19</v>
      </c>
      <c r="D95">
        <v>3349</v>
      </c>
      <c r="E95">
        <v>2500</v>
      </c>
      <c r="F95">
        <v>1.34</v>
      </c>
      <c r="G95">
        <v>37</v>
      </c>
      <c r="H95">
        <v>118</v>
      </c>
      <c r="I95">
        <v>1</v>
      </c>
    </row>
    <row r="96" spans="1:9" x14ac:dyDescent="0.25">
      <c r="A96" s="1" t="s">
        <v>21</v>
      </c>
      <c r="B96" s="1" t="s">
        <v>10</v>
      </c>
      <c r="C96" s="1" t="s">
        <v>16</v>
      </c>
      <c r="D96">
        <v>1059</v>
      </c>
      <c r="E96">
        <v>2500</v>
      </c>
      <c r="F96">
        <v>0.42</v>
      </c>
      <c r="G96">
        <v>17</v>
      </c>
      <c r="H96">
        <v>83</v>
      </c>
      <c r="I96">
        <v>5</v>
      </c>
    </row>
    <row r="97" spans="1:9" x14ac:dyDescent="0.25">
      <c r="A97" s="1" t="s">
        <v>14</v>
      </c>
      <c r="B97" s="1" t="s">
        <v>20</v>
      </c>
      <c r="C97" s="1" t="s">
        <v>19</v>
      </c>
      <c r="D97">
        <v>4172</v>
      </c>
      <c r="E97">
        <v>2500</v>
      </c>
      <c r="F97">
        <v>1.67</v>
      </c>
      <c r="G97">
        <v>45</v>
      </c>
      <c r="H97">
        <v>55</v>
      </c>
      <c r="I97">
        <v>4</v>
      </c>
    </row>
    <row r="98" spans="1:9" x14ac:dyDescent="0.25">
      <c r="A98" s="1" t="s">
        <v>12</v>
      </c>
      <c r="B98" s="1" t="s">
        <v>20</v>
      </c>
      <c r="C98" s="1" t="s">
        <v>19</v>
      </c>
      <c r="D98">
        <v>3843</v>
      </c>
      <c r="E98">
        <v>2500</v>
      </c>
      <c r="F98">
        <v>1.54</v>
      </c>
      <c r="G98">
        <v>99</v>
      </c>
      <c r="H98">
        <v>102</v>
      </c>
      <c r="I98">
        <v>4</v>
      </c>
    </row>
    <row r="99" spans="1:9" x14ac:dyDescent="0.25">
      <c r="A99" s="1" t="s">
        <v>17</v>
      </c>
      <c r="B99" s="1" t="s">
        <v>13</v>
      </c>
      <c r="C99" s="1" t="s">
        <v>19</v>
      </c>
      <c r="D99">
        <v>4570</v>
      </c>
      <c r="E99">
        <v>2500</v>
      </c>
      <c r="F99">
        <v>1.83</v>
      </c>
      <c r="G99">
        <v>17</v>
      </c>
      <c r="H99">
        <v>175</v>
      </c>
      <c r="I99">
        <v>5</v>
      </c>
    </row>
    <row r="100" spans="1:9" x14ac:dyDescent="0.25">
      <c r="A100" s="1" t="s">
        <v>17</v>
      </c>
      <c r="B100" s="1" t="s">
        <v>18</v>
      </c>
      <c r="C100" s="1" t="s">
        <v>16</v>
      </c>
      <c r="D100">
        <v>1970</v>
      </c>
      <c r="E100">
        <v>2500</v>
      </c>
      <c r="F100">
        <v>0.79</v>
      </c>
      <c r="G100">
        <v>67</v>
      </c>
      <c r="H100">
        <v>92</v>
      </c>
      <c r="I100">
        <v>4</v>
      </c>
    </row>
    <row r="101" spans="1:9" x14ac:dyDescent="0.25">
      <c r="A101" s="1" t="s">
        <v>21</v>
      </c>
      <c r="B101" s="1" t="s">
        <v>10</v>
      </c>
      <c r="C101" s="1" t="s">
        <v>16</v>
      </c>
      <c r="D101">
        <v>1080</v>
      </c>
      <c r="E101">
        <v>2500</v>
      </c>
      <c r="F101">
        <v>0.43</v>
      </c>
      <c r="G101">
        <v>69</v>
      </c>
      <c r="H101">
        <v>164</v>
      </c>
      <c r="I101">
        <v>4</v>
      </c>
    </row>
  </sheetData>
  <sortState xmlns:xlrd2="http://schemas.microsoft.com/office/spreadsheetml/2017/richdata2" ref="K4:L9">
    <sortCondition descending="1" ref="L4:L9"/>
  </sortState>
  <mergeCells count="1">
    <mergeCell ref="K2:Q2"/>
  </mergeCells>
  <conditionalFormatting sqref="D2:D101">
    <cfRule type="cellIs" dxfId="36" priority="18" stopIfTrue="1" operator="equal">
      <formula>D2</formula>
    </cfRule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{74E695C0-D24C-4B64-851B-EAC50865A6D2}</x14:id>
        </ext>
      </extLst>
    </cfRule>
    <cfRule type="aboveAverage" dxfId="35" priority="32"/>
    <cfRule type="top10" dxfId="34" priority="33" rank="3"/>
    <cfRule type="cellIs" dxfId="33" priority="35" operator="greaterThanOrEqual">
      <formula>$E$2</formula>
    </cfRule>
    <cfRule type="cellIs" dxfId="32" priority="37" operator="lessThan">
      <formula>$E$2</formula>
    </cfRule>
  </conditionalFormatting>
  <conditionalFormatting sqref="F2:F101">
    <cfRule type="cellIs" dxfId="31" priority="20" stopIfTrue="1" operator="equal">
      <formula>F2</formula>
    </cfRule>
    <cfRule type="colorScale" priority="27">
      <colorScale>
        <cfvo type="num" val="0.8"/>
        <cfvo type="num" val="1"/>
        <cfvo type="num" val="1.2"/>
        <color rgb="FFF8696B"/>
        <color rgb="FFFFEB84"/>
        <color rgb="FF63BE7B"/>
      </colorScale>
    </cfRule>
  </conditionalFormatting>
  <conditionalFormatting sqref="I2:I101">
    <cfRule type="cellIs" dxfId="30" priority="19" stopIfTrue="1" operator="equal">
      <formula>I2</formula>
    </cfRule>
    <cfRule type="expression" dxfId="29" priority="23">
      <formula>AND(I2=5, D2&gt;E2)</formula>
    </cfRule>
  </conditionalFormatting>
  <conditionalFormatting sqref="A2:I101">
    <cfRule type="expression" dxfId="28" priority="16" stopIfTrue="1">
      <formula>$D2&gt;=$E2</formula>
    </cfRule>
  </conditionalFormatting>
  <conditionalFormatting sqref="O9">
    <cfRule type="cellIs" dxfId="27" priority="12" operator="greaterThan">
      <formula>0.5</formula>
    </cfRule>
  </conditionalFormatting>
  <conditionalFormatting sqref="N4:N9">
    <cfRule type="cellIs" dxfId="26" priority="11" operator="equal">
      <formula>"Sim"</formula>
    </cfRule>
    <cfRule type="cellIs" dxfId="25" priority="8" operator="equal">
      <formula>"Não"</formula>
    </cfRule>
  </conditionalFormatting>
  <conditionalFormatting sqref="L4:L9">
    <cfRule type="cellIs" dxfId="24" priority="10" operator="greaterThan">
      <formula>M4</formula>
    </cfRule>
    <cfRule type="cellIs" dxfId="23" priority="9" operator="lessThan">
      <formula>M4</formula>
    </cfRule>
  </conditionalFormatting>
  <conditionalFormatting sqref="O4:O8">
    <cfRule type="cellIs" dxfId="22" priority="7" operator="equal">
      <formula>0.2</formula>
    </cfRule>
    <cfRule type="cellIs" dxfId="21" priority="6" operator="equal">
      <formula>""</formula>
    </cfRule>
  </conditionalFormatting>
  <conditionalFormatting sqref="Q4:Q9">
    <cfRule type="cellIs" dxfId="0" priority="4" operator="greaterThan">
      <formula>3.99</formula>
    </cfRule>
    <cfRule type="cellIs" dxfId="1" priority="2" operator="lessThan">
      <formula>3.01</formula>
    </cfRule>
    <cfRule type="cellIs" dxfId="2" priority="1" operator="between">
      <formula>3.01</formula>
      <formula>3.99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E695C0-D24C-4B64-851B-EAC50865A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D2:D101</xm:sqref>
        </x14:conditionalFormatting>
        <x14:conditionalFormatting xmlns:xm="http://schemas.microsoft.com/office/excel/2006/main">
          <x14:cfRule type="iconSet" priority="26" id="{306A9CDA-24DA-4241-905A-05FE51FE7B4B}">
            <x14:iconSet custom="1">
              <x14:cfvo type="percent">
                <xm:f>0</xm:f>
              </x14:cfvo>
              <x14:cfvo type="num">
                <xm:f>0.8</xm:f>
              </x14:cfvo>
              <x14:cfvo type="num">
                <xm:f>1</xm:f>
              </x14:cfvo>
              <x14:cfIcon iconSet="3Symbols2" iconId="0"/>
              <x14:cfIcon iconSet="3Signs" iconId="1"/>
              <x14:cfIcon iconSet="3Symbols2" iconId="2"/>
            </x14:iconSet>
          </x14:cfRule>
          <xm:sqref>F2:F101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347263-F4B3-4400-95CC-ABBA0A1563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</dc:creator>
  <cp:lastModifiedBy>code</cp:lastModifiedBy>
  <dcterms:created xsi:type="dcterms:W3CDTF">2026-05-29T13:11:23Z</dcterms:created>
  <dcterms:modified xsi:type="dcterms:W3CDTF">2026-05-29T15:52:17Z</dcterms:modified>
</cp:coreProperties>
</file>