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e\Desktop\estudos-analise-dados\05_excel_para_dados\05_graficos\"/>
    </mc:Choice>
  </mc:AlternateContent>
  <xr:revisionPtr revIDLastSave="0" documentId="8_{247468DF-D61B-4E4A-A854-A7DAB60F911D}" xr6:coauthVersionLast="47" xr6:coauthVersionMax="47" xr10:uidLastSave="{00000000-0000-0000-0000-000000000000}"/>
  <bookViews>
    <workbookView xWindow="-120" yWindow="-120" windowWidth="29040" windowHeight="15870" activeTab="1" xr2:uid="{AF9C5047-4B66-423A-90D4-40481EA135CB}"/>
  </bookViews>
  <sheets>
    <sheet name="vendas_categoria" sheetId="2" r:id="rId1"/>
    <sheet name="vendas_mensal" sheetId="6" r:id="rId2"/>
    <sheet name="marketing_vendas" sheetId="7" r:id="rId3"/>
    <sheet name="vendas_composicao" sheetId="8" r:id="rId4"/>
    <sheet name="Dashboard" sheetId="4" r:id="rId5"/>
  </sheets>
  <definedNames>
    <definedName name="DadosExternos_1" localSheetId="2" hidden="1">marketing_vendas!$A$1:$B$51</definedName>
    <definedName name="DadosExternos_1" localSheetId="0" hidden="1">vendas_categoria!$A$1:$B$6</definedName>
    <definedName name="DadosExternos_1" localSheetId="3" hidden="1">vendas_composicao!$A$1:$C$6</definedName>
    <definedName name="DadosExternos_1" localSheetId="1" hidden="1">vendas_mensal!$A$1:$C$13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E3" i="8"/>
  <c r="E4" i="8"/>
  <c r="E5" i="8"/>
  <c r="E6" i="8"/>
  <c r="E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4AFBE0-DD85-457F-A7B1-BF12571B62CF}" keepAlive="1" name="Consulta - marketing_vendas" description="Conexão com a consulta 'marketing_vendas' na pasta de trabalho." type="5" refreshedVersion="8" background="1" saveData="1">
    <dbPr connection="Provider=Microsoft.Mashup.OleDb.1;Data Source=$Workbook$;Location=marketing_vendas;Extended Properties=&quot;&quot;" command="SELECT * FROM [marketing_vendas]"/>
  </connection>
  <connection id="2" xr16:uid="{C2A23974-CB2F-48B2-97AD-AFF78BF1C633}" keepAlive="1" name="Consulta - vendas_categoria" description="Conexão com a consulta 'vendas_categoria' na pasta de trabalho." type="5" refreshedVersion="8" background="1" saveData="1">
    <dbPr connection="Provider=Microsoft.Mashup.OleDb.1;Data Source=$Workbook$;Location=vendas_categoria;Extended Properties=&quot;&quot;" command="SELECT * FROM [vendas_categoria]"/>
  </connection>
  <connection id="3" xr16:uid="{FFCBCF64-9978-49C4-99F9-0C7665B48F29}" keepAlive="1" name="Consulta - vendas_composicao" description="Conexão com a consulta 'vendas_composicao' na pasta de trabalho." type="5" refreshedVersion="8" background="1" saveData="1">
    <dbPr connection="Provider=Microsoft.Mashup.OleDb.1;Data Source=$Workbook$;Location=vendas_composicao;Extended Properties=&quot;&quot;" command="SELECT * FROM [vendas_composicao]"/>
  </connection>
  <connection id="4" xr16:uid="{6CBBA96D-7D70-4031-9357-B3C569289020}" keepAlive="1" name="Consulta - vendas_mensal" description="Conexão com a consulta 'vendas_mensal' na pasta de trabalho." type="5" refreshedVersion="8" background="1" saveData="1">
    <dbPr connection="Provider=Microsoft.Mashup.OleDb.1;Data Source=$Workbook$;Location=vendas_mensal;Extended Properties=&quot;&quot;" command="SELECT * FROM [vendas_mensal]"/>
  </connection>
  <connection id="5" xr16:uid="{9BE78C6B-2AD5-4F13-B009-868036230635}" keepAlive="1" name="Consulta - vendas_mensal (2)" description="Conexão com a consulta 'vendas_mensal (2)' na pasta de trabalho." type="5" refreshedVersion="8" background="1" saveData="1">
    <dbPr connection="Provider=Microsoft.Mashup.OleDb.1;Data Source=$Workbook$;Location=&quot;vendas_mensal (2)&quot;;Extended Properties=&quot;&quot;" command="SELECT * FROM [vendas_mensal (2)]"/>
  </connection>
</connections>
</file>

<file path=xl/sharedStrings.xml><?xml version="1.0" encoding="utf-8"?>
<sst xmlns="http://schemas.openxmlformats.org/spreadsheetml/2006/main" count="48" uniqueCount="34">
  <si>
    <t>categoria</t>
  </si>
  <si>
    <t>vendas</t>
  </si>
  <si>
    <t>Eletrônicos</t>
  </si>
  <si>
    <t>Vestuário</t>
  </si>
  <si>
    <t>Alimentos</t>
  </si>
  <si>
    <t>Móveis</t>
  </si>
  <si>
    <t>Livros</t>
  </si>
  <si>
    <t>mes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</si>
  <si>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</si>
  <si>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</si>
  <si>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</si>
  <si>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</si>
  <si>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</si>
  <si>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</si>
  <si>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</si>
  <si>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</si>
  <si>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</si>
  <si>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</si>
  <si>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</si>
  <si>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</si>
  <si>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2023</t>
  </si>
  <si>
    <t>2024</t>
  </si>
  <si>
    <t>investimento_marketing</t>
  </si>
  <si>
    <t>produto</t>
  </si>
  <si>
    <t>online</t>
  </si>
  <si>
    <t>loja_fisica</t>
  </si>
  <si>
    <t>Camiseta</t>
  </si>
  <si>
    <t>Calça</t>
  </si>
  <si>
    <t>Tênis</t>
  </si>
  <si>
    <t>Boné</t>
  </si>
  <si>
    <t>Moletom</t>
  </si>
  <si>
    <t>Dashboard de Vendas - 2023/2024</t>
  </si>
  <si>
    <t>ano</t>
  </si>
  <si>
    <t>minigraficos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</si>
</sst>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44" fontId="0" fillId="0" borderId="0" xfId="1" applyFont="1"/>
    <xf numFmtId="0" fontId="2" fillId="2" borderId="0" xfId="0" applyFont="1" applyFill="1" applyAlignment="1">
      <alignment horizontal="center"/>
    </xf>
    <xf numFmtId="0" fontId="0" fillId="2" borderId="0" xfId="0" applyFill="1"/>
  </cellXfs>
  <cellStyles count="2">
    <cellStyle name="Moeda" xfId="1" builtinId="4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Categoria - 2024</a:t>
            </a:r>
          </a:p>
        </c:rich>
      </c:tx>
      <c:layout>
        <c:manualLayout>
          <c:xMode val="edge"/>
          <c:yMode val="edge"/>
          <c:x val="0.34781207658777163"/>
          <c:y val="2.69360237621447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rgbClr val="002060"/>
                </a:gs>
                <a:gs pos="0">
                  <a:srgbClr val="98A9C4"/>
                </a:gs>
                <a:gs pos="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cat>
          <c:val>
            <c:numRef>
              <c:f>vendas_categoria!$B$2</c:f>
              <c:numCache>
                <c:formatCode>General</c:formatCode>
                <c:ptCount val="1"/>
                <c:pt idx="0">
                  <c:v>45200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B22-46E0-9C34-5CCE9A06C90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cat>
          <c:val>
            <c:numRef>
              <c:f>vendas_categoria!$B$3</c:f>
              <c:numCache>
                <c:formatCode>General</c:formatCode>
                <c:ptCount val="1"/>
                <c:pt idx="0">
                  <c:v>38900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B22-46E0-9C34-5CCE9A06C90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cat>
          <c:val>
            <c:numRef>
              <c:f>vendas_categoria!$B$4</c:f>
              <c:numCache>
                <c:formatCode>General</c:formatCode>
                <c:ptCount val="1"/>
                <c:pt idx="0">
                  <c:v>23400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B22-46E0-9C34-5CCE9A06C90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cat>
          <c:val>
            <c:numRef>
              <c:f>vendas_categoria!$B$5</c:f>
              <c:numCache>
                <c:formatCode>General</c:formatCode>
                <c:ptCount val="1"/>
                <c:pt idx="0">
                  <c:v>18700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8B22-46E0-9C34-5CCE9A06C90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cat>
          <c:val>
            <c:numRef>
              <c:f>vendas_categoria!$B$6</c:f>
              <c:numCache>
                <c:formatCode>General</c:formatCode>
                <c:ptCount val="1"/>
                <c:pt idx="0">
                  <c:v>9800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8B22-46E0-9C34-5CCE9A06C9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7776448"/>
        <c:axId val="1047777408"/>
      </c:barChart>
      <c:catAx>
        <c:axId val="1047776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777408"/>
        <c:crosses val="autoZero"/>
        <c:auto val="1"/>
        <c:lblAlgn val="ctr"/>
        <c:lblOffset val="100"/>
        <c:noMultiLvlLbl val="0"/>
      </c:catAx>
      <c:valAx>
        <c:axId val="10477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Vendas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77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Participação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tx>
          <c:dPt>
            <c:idx val="0"/>
            <c:bubble3D val="0"/>
            <c:explosion val="16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88-4FC0-92A5-6AFF4D8A416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vendas_categoria!$A$2:$A$6</c:f>
              <c:strCache>
                <c:ptCount val="5"/>
                <c:pt idx="0">
                  <c:v>Eletrônicos</c:v>
                </c:pt>
                <c:pt idx="1">
                  <c:v>Vestuário</c:v>
                </c:pt>
                <c:pt idx="2">
                  <c:v>Alimentos</c:v>
                </c:pt>
                <c:pt idx="3">
                  <c:v>Móveis</c:v>
                </c:pt>
                <c:pt idx="4">
                  <c:v>Livros</c:v>
                </c:pt>
              </c:strCache>
            </c:strRef>
          </c:cat>
          <c:val>
            <c:numRef>
              <c:f>vendas_categoria!$B$2:$B$6</c:f>
              <c:numCache>
                <c:formatCode>General</c:formatCode>
                <c:ptCount val="5"/>
                <c:pt idx="0">
                  <c:v>45200</c:v>
                </c:pt>
                <c:pt idx="1">
                  <c:v>38900</c:v>
                </c:pt>
                <c:pt idx="2">
                  <c:v>23400</c:v>
                </c:pt>
                <c:pt idx="3">
                  <c:v>18700</c:v>
                </c:pt>
                <c:pt idx="4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8-4FC0-92A5-6AFF4D8A4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Participação por Categoria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518-4139-A275-8D6BDD017E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18-4139-A275-8D6BDD017E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518-4139-A275-8D6BDD017E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18-4139-A275-8D6BDD017E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18-4139-A275-8D6BDD017E3A}"/>
              </c:ext>
            </c:extLst>
          </c:dPt>
          <c:dLbls>
            <c:dLbl>
              <c:idx val="0"/>
              <c:layout>
                <c:manualLayout>
                  <c:x val="6.9444444444444448E-2"/>
                  <c:y val="-6.48148148148148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18-4139-A275-8D6BDD017E3A}"/>
                </c:ext>
              </c:extLst>
            </c:dLbl>
            <c:dLbl>
              <c:idx val="1"/>
              <c:layout>
                <c:manualLayout>
                  <c:x val="7.49999999999999E-2"/>
                  <c:y val="6.48148148148148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18-4139-A275-8D6BDD017E3A}"/>
                </c:ext>
              </c:extLst>
            </c:dLbl>
            <c:dLbl>
              <c:idx val="2"/>
              <c:layout>
                <c:manualLayout>
                  <c:x val="-6.3888888888888939E-2"/>
                  <c:y val="3.240740740740732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18-4139-A275-8D6BDD017E3A}"/>
                </c:ext>
              </c:extLst>
            </c:dLbl>
            <c:dLbl>
              <c:idx val="3"/>
              <c:layout>
                <c:manualLayout>
                  <c:x val="-5.8333333333333334E-2"/>
                  <c:y val="-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18-4139-A275-8D6BDD017E3A}"/>
                </c:ext>
              </c:extLst>
            </c:dLbl>
            <c:dLbl>
              <c:idx val="4"/>
              <c:layout>
                <c:manualLayout>
                  <c:x val="-2.500000000000005E-2"/>
                  <c:y val="-0.1018518518518518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18-4139-A275-8D6BDD017E3A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vendas_categoria!$A$2:$A$6</c:f>
              <c:strCache>
                <c:ptCount val="5"/>
                <c:pt idx="0">
                  <c:v>Eletrônicos</c:v>
                </c:pt>
                <c:pt idx="1">
                  <c:v>Vestuário</c:v>
                </c:pt>
                <c:pt idx="2">
                  <c:v>Alimentos</c:v>
                </c:pt>
                <c:pt idx="3">
                  <c:v>Móveis</c:v>
                </c:pt>
                <c:pt idx="4">
                  <c:v>Livros</c:v>
                </c:pt>
              </c:strCache>
            </c:strRef>
          </c:cat>
          <c:val>
            <c:numRef>
              <c:f>vendas_categoria!$B$2:$B$6</c:f>
              <c:numCache>
                <c:formatCode>General</c:formatCode>
                <c:ptCount val="5"/>
                <c:pt idx="0">
                  <c:v>45200</c:v>
                </c:pt>
                <c:pt idx="1">
                  <c:v>38900</c:v>
                </c:pt>
                <c:pt idx="2">
                  <c:v>23400</c:v>
                </c:pt>
                <c:pt idx="3">
                  <c:v>18700</c:v>
                </c:pt>
                <c:pt idx="4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8-4139-A275-8D6BDD017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de Vendas Mensais - 2023 vs 2024</a:t>
            </a:r>
          </a:p>
        </c:rich>
      </c:tx>
      <c:layout>
        <c:manualLayout>
          <c:xMode val="edge"/>
          <c:yMode val="edge"/>
          <c:x val="0.25603238866396766"/>
          <c:y val="1.7259976470257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vendas_mensal!$B$1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vendas_mensal!$A$2:$A$13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vendas_mensal!$B$2:$B$13</c:f>
              <c:numCache>
                <c:formatCode>General</c:formatCode>
                <c:ptCount val="12"/>
                <c:pt idx="0">
                  <c:v>8860</c:v>
                </c:pt>
                <c:pt idx="1">
                  <c:v>13390</c:v>
                </c:pt>
                <c:pt idx="2">
                  <c:v>13226</c:v>
                </c:pt>
                <c:pt idx="3">
                  <c:v>13191</c:v>
                </c:pt>
                <c:pt idx="4">
                  <c:v>11772</c:v>
                </c:pt>
                <c:pt idx="5">
                  <c:v>11092</c:v>
                </c:pt>
                <c:pt idx="6">
                  <c:v>13734</c:v>
                </c:pt>
                <c:pt idx="7">
                  <c:v>14265</c:v>
                </c:pt>
                <c:pt idx="8">
                  <c:v>8466</c:v>
                </c:pt>
                <c:pt idx="9">
                  <c:v>13334</c:v>
                </c:pt>
                <c:pt idx="10">
                  <c:v>12426</c:v>
                </c:pt>
                <c:pt idx="11">
                  <c:v>13578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8-4D50-8A56-F839B035BE3E}"/>
            </c:ext>
          </c:extLst>
        </c:ser>
        <c:ser>
          <c:idx val="1"/>
          <c:order val="1"/>
          <c:tx>
            <c:strRef>
              <c:f>vendas_mensal!$C$1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vendas_mensal!$A$2:$A$13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vendas_mensal!$C$2:$C$13</c:f>
              <c:numCache>
                <c:formatCode>General</c:formatCode>
                <c:ptCount val="12"/>
                <c:pt idx="0">
                  <c:v>9995</c:v>
                </c:pt>
                <c:pt idx="1">
                  <c:v>15834</c:v>
                </c:pt>
                <c:pt idx="2">
                  <c:v>15397</c:v>
                </c:pt>
                <c:pt idx="3">
                  <c:v>15110</c:v>
                </c:pt>
                <c:pt idx="4">
                  <c:v>14507</c:v>
                </c:pt>
                <c:pt idx="5">
                  <c:v>10222</c:v>
                </c:pt>
                <c:pt idx="6">
                  <c:v>14419</c:v>
                </c:pt>
                <c:pt idx="7">
                  <c:v>16645</c:v>
                </c:pt>
                <c:pt idx="8">
                  <c:v>8235</c:v>
                </c:pt>
                <c:pt idx="9">
                  <c:v>14725</c:v>
                </c:pt>
                <c:pt idx="10">
                  <c:v>12941</c:v>
                </c:pt>
                <c:pt idx="11">
                  <c:v>16063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8-4D50-8A56-F839B035BE3E}"/>
            </c:ext>
          </c:extLst>
        </c:ser>
        <c:ser>
          <c:idx val="2"/>
          <c:order val="2"/>
          <c:tx>
            <c:strRef>
              <c:f>vendas_mensal!$D$1</c:f>
              <c:strCache>
                <c:ptCount val="1"/>
                <c:pt idx="0">
                  <c:v>minigraficos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vendas_mensal!$A$2:$A$13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vendas_mensal!$D$2:$D$13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8-4D50-8A56-F839B035B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816400"/>
        <c:axId val="1044814960"/>
      </c:lineChart>
      <c:catAx>
        <c:axId val="104481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meses (Jan a Dez)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814960"/>
        <c:crosses val="autoZero"/>
        <c:auto val="1"/>
        <c:lblAlgn val="ctr"/>
        <c:lblOffset val="100"/>
        <c:noMultiLvlLbl val="0"/>
      </c:catAx>
      <c:valAx>
        <c:axId val="10448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Vendas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81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2023 (colunas) vs 2024 (linha)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vendas_mensal!$B$1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vendas_mensal!$A$2:$A$13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vendas_mensal!$B$2:$B$13</c:f>
              <c:numCache>
                <c:formatCode>General</c:formatCode>
                <c:ptCount val="12"/>
                <c:pt idx="0">
                  <c:v>8860</c:v>
                </c:pt>
                <c:pt idx="1">
                  <c:v>13390</c:v>
                </c:pt>
                <c:pt idx="2">
                  <c:v>13226</c:v>
                </c:pt>
                <c:pt idx="3">
                  <c:v>13191</c:v>
                </c:pt>
                <c:pt idx="4">
                  <c:v>11772</c:v>
                </c:pt>
                <c:pt idx="5">
                  <c:v>11092</c:v>
                </c:pt>
                <c:pt idx="6">
                  <c:v>13734</c:v>
                </c:pt>
                <c:pt idx="7">
                  <c:v>14265</c:v>
                </c:pt>
                <c:pt idx="8">
                  <c:v>8466</c:v>
                </c:pt>
                <c:pt idx="9">
                  <c:v>13334</c:v>
                </c:pt>
                <c:pt idx="10">
                  <c:v>12426</c:v>
                </c:pt>
                <c:pt idx="11">
                  <c:v>13578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C-4800-BE0E-1568D32BD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328800"/>
        <c:axId val="252327840"/>
      </c:barChart>
      <c:lineChart>
        <c:grouping val="standard"/>
        <c:varyColors val="0"/>
        <c:ser>
          <c:idx val="1"/>
          <c:order val="1"/>
          <c:tx>
            <c:strRef>
              <c:f>vendas_mensal!$C$1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cat>
            <c:strRef>
              <c:f>vendas_mensal!$A$2:$A$13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vendas_mensal!$C$2:$C$13</c:f>
              <c:numCache>
                <c:formatCode>General</c:formatCode>
                <c:ptCount val="12"/>
                <c:pt idx="0">
                  <c:v>9995</c:v>
                </c:pt>
                <c:pt idx="1">
                  <c:v>15834</c:v>
                </c:pt>
                <c:pt idx="2">
                  <c:v>15397</c:v>
                </c:pt>
                <c:pt idx="3">
                  <c:v>15110</c:v>
                </c:pt>
                <c:pt idx="4">
                  <c:v>14507</c:v>
                </c:pt>
                <c:pt idx="5">
                  <c:v>10222</c:v>
                </c:pt>
                <c:pt idx="6">
                  <c:v>14419</c:v>
                </c:pt>
                <c:pt idx="7">
                  <c:v>16645</c:v>
                </c:pt>
                <c:pt idx="8">
                  <c:v>8235</c:v>
                </c:pt>
                <c:pt idx="9">
                  <c:v>14725</c:v>
                </c:pt>
                <c:pt idx="10">
                  <c:v>12941</c:v>
                </c:pt>
                <c:pt idx="11">
                  <c:v>16063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6C-4800-BE0E-1568D32BD49B}"/>
            </c:ext>
          </c:extLst>
        </c:ser>
        <c:ser>
          <c:idx val="2"/>
          <c:order val="2"/>
          <c:tx>
            <c:strRef>
              <c:f>vendas_mensal!$D$1</c:f>
              <c:strCache>
                <c:ptCount val="1"/>
                <c:pt idx="0">
                  <c:v>minigraficos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vendas_mensal!$A$2:$A$13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vendas_mensal!$D$2:$D$13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6C-4800-BE0E-1568D32BD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328800"/>
        <c:axId val="252327840"/>
      </c:lineChart>
      <c:catAx>
        <c:axId val="25232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327840"/>
        <c:crosses val="autoZero"/>
        <c:auto val="1"/>
        <c:lblAlgn val="ctr"/>
        <c:lblOffset val="100"/>
        <c:noMultiLvlLbl val="0"/>
      </c:catAx>
      <c:valAx>
        <c:axId val="25232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vendas(R$)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3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Relação:</a:t>
            </a:r>
            <a:r>
              <a:rPr lang="en-US" baseline="0"/>
              <a:t> Investimento em Marketing vs Vendas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marketing_vendas!$B$1</c:f>
              <c:strCache>
                <c:ptCount val="1"/>
                <c:pt idx="0">
                  <c:v>vendas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4450" cap="rnd" cmpd="sng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95230123793581"/>
                  <c:y val="0.35511323776653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marketing_vendas!$A$2:$A$51</c:f>
              <c:numCache>
                <c:formatCode>General</c:formatCode>
                <c:ptCount val="50"/>
                <c:pt idx="0">
                  <c:v>7949</c:v>
                </c:pt>
                <c:pt idx="1">
                  <c:v>3433</c:v>
                </c:pt>
                <c:pt idx="2">
                  <c:v>6311</c:v>
                </c:pt>
                <c:pt idx="3">
                  <c:v>6051</c:v>
                </c:pt>
                <c:pt idx="4">
                  <c:v>7420</c:v>
                </c:pt>
                <c:pt idx="5">
                  <c:v>2184</c:v>
                </c:pt>
                <c:pt idx="6">
                  <c:v>5555</c:v>
                </c:pt>
                <c:pt idx="7">
                  <c:v>4385</c:v>
                </c:pt>
                <c:pt idx="8">
                  <c:v>7396</c:v>
                </c:pt>
                <c:pt idx="9">
                  <c:v>9666</c:v>
                </c:pt>
                <c:pt idx="10">
                  <c:v>3558</c:v>
                </c:pt>
                <c:pt idx="11">
                  <c:v>8849</c:v>
                </c:pt>
                <c:pt idx="12">
                  <c:v>3047</c:v>
                </c:pt>
                <c:pt idx="13">
                  <c:v>3747</c:v>
                </c:pt>
                <c:pt idx="14">
                  <c:v>1189</c:v>
                </c:pt>
                <c:pt idx="15">
                  <c:v>3734</c:v>
                </c:pt>
                <c:pt idx="16">
                  <c:v>4005</c:v>
                </c:pt>
                <c:pt idx="17">
                  <c:v>5658</c:v>
                </c:pt>
                <c:pt idx="18">
                  <c:v>2899</c:v>
                </c:pt>
                <c:pt idx="19">
                  <c:v>8734</c:v>
                </c:pt>
                <c:pt idx="20">
                  <c:v>2267</c:v>
                </c:pt>
                <c:pt idx="21">
                  <c:v>2528</c:v>
                </c:pt>
                <c:pt idx="22">
                  <c:v>4556</c:v>
                </c:pt>
                <c:pt idx="23">
                  <c:v>4890</c:v>
                </c:pt>
                <c:pt idx="24">
                  <c:v>9838</c:v>
                </c:pt>
                <c:pt idx="25">
                  <c:v>6393</c:v>
                </c:pt>
                <c:pt idx="26">
                  <c:v>9792</c:v>
                </c:pt>
                <c:pt idx="27">
                  <c:v>9433</c:v>
                </c:pt>
                <c:pt idx="28">
                  <c:v>8513</c:v>
                </c:pt>
                <c:pt idx="29">
                  <c:v>3612</c:v>
                </c:pt>
                <c:pt idx="30">
                  <c:v>8041</c:v>
                </c:pt>
                <c:pt idx="31">
                  <c:v>7235</c:v>
                </c:pt>
                <c:pt idx="32">
                  <c:v>6486</c:v>
                </c:pt>
                <c:pt idx="33">
                  <c:v>8099</c:v>
                </c:pt>
                <c:pt idx="34">
                  <c:v>1775</c:v>
                </c:pt>
                <c:pt idx="35">
                  <c:v>9226</c:v>
                </c:pt>
                <c:pt idx="36">
                  <c:v>4152</c:v>
                </c:pt>
                <c:pt idx="37">
                  <c:v>2585</c:v>
                </c:pt>
                <c:pt idx="38">
                  <c:v>4943</c:v>
                </c:pt>
                <c:pt idx="39">
                  <c:v>8555</c:v>
                </c:pt>
                <c:pt idx="40">
                  <c:v>4073</c:v>
                </c:pt>
                <c:pt idx="41">
                  <c:v>2021</c:v>
                </c:pt>
                <c:pt idx="42">
                  <c:v>4843</c:v>
                </c:pt>
                <c:pt idx="43">
                  <c:v>8989</c:v>
                </c:pt>
                <c:pt idx="44">
                  <c:v>7873</c:v>
                </c:pt>
                <c:pt idx="45">
                  <c:v>6675</c:v>
                </c:pt>
                <c:pt idx="46">
                  <c:v>1161</c:v>
                </c:pt>
                <c:pt idx="47">
                  <c:v>5297</c:v>
                </c:pt>
                <c:pt idx="48">
                  <c:v>1995</c:v>
                </c:pt>
                <c:pt idx="49">
                  <c:v>8629</c:v>
                </c:pt>
              </c:numCache>
            </c:numRef>
          </c:xVal>
          <c:yVal>
            <c:numRef>
              <c:f>marketing_vendas!$B$2:$B$51</c:f>
              <c:numCache>
                <c:formatCode>General</c:formatCode>
                <c:ptCount val="50"/>
                <c:pt idx="0">
                  <c:v>9905</c:v>
                </c:pt>
                <c:pt idx="1">
                  <c:v>1982</c:v>
                </c:pt>
                <c:pt idx="2">
                  <c:v>11013</c:v>
                </c:pt>
                <c:pt idx="3">
                  <c:v>8000</c:v>
                </c:pt>
                <c:pt idx="4">
                  <c:v>8436</c:v>
                </c:pt>
                <c:pt idx="5">
                  <c:v>1514</c:v>
                </c:pt>
                <c:pt idx="6">
                  <c:v>6071</c:v>
                </c:pt>
                <c:pt idx="7">
                  <c:v>6846</c:v>
                </c:pt>
                <c:pt idx="8">
                  <c:v>12258</c:v>
                </c:pt>
                <c:pt idx="9">
                  <c:v>16274</c:v>
                </c:pt>
                <c:pt idx="10">
                  <c:v>7125</c:v>
                </c:pt>
                <c:pt idx="11">
                  <c:v>14783</c:v>
                </c:pt>
                <c:pt idx="12">
                  <c:v>4156</c:v>
                </c:pt>
                <c:pt idx="13">
                  <c:v>4373</c:v>
                </c:pt>
                <c:pt idx="14">
                  <c:v>7800</c:v>
                </c:pt>
                <c:pt idx="15">
                  <c:v>7800</c:v>
                </c:pt>
                <c:pt idx="16">
                  <c:v>5652</c:v>
                </c:pt>
                <c:pt idx="17">
                  <c:v>7666</c:v>
                </c:pt>
                <c:pt idx="18">
                  <c:v>6707</c:v>
                </c:pt>
                <c:pt idx="19">
                  <c:v>11304</c:v>
                </c:pt>
                <c:pt idx="20">
                  <c:v>5070</c:v>
                </c:pt>
                <c:pt idx="21">
                  <c:v>4385</c:v>
                </c:pt>
                <c:pt idx="22">
                  <c:v>4758</c:v>
                </c:pt>
                <c:pt idx="23">
                  <c:v>7183</c:v>
                </c:pt>
                <c:pt idx="24">
                  <c:v>16702</c:v>
                </c:pt>
                <c:pt idx="25">
                  <c:v>11180</c:v>
                </c:pt>
                <c:pt idx="26">
                  <c:v>17678</c:v>
                </c:pt>
                <c:pt idx="27">
                  <c:v>14825</c:v>
                </c:pt>
                <c:pt idx="28">
                  <c:v>19514</c:v>
                </c:pt>
                <c:pt idx="29">
                  <c:v>3577</c:v>
                </c:pt>
                <c:pt idx="30">
                  <c:v>11264</c:v>
                </c:pt>
                <c:pt idx="31">
                  <c:v>10730</c:v>
                </c:pt>
                <c:pt idx="32">
                  <c:v>6891</c:v>
                </c:pt>
                <c:pt idx="33">
                  <c:v>14233</c:v>
                </c:pt>
                <c:pt idx="34">
                  <c:v>4469</c:v>
                </c:pt>
                <c:pt idx="35">
                  <c:v>13877</c:v>
                </c:pt>
                <c:pt idx="36">
                  <c:v>5159</c:v>
                </c:pt>
                <c:pt idx="37">
                  <c:v>887</c:v>
                </c:pt>
                <c:pt idx="38">
                  <c:v>5835</c:v>
                </c:pt>
                <c:pt idx="39">
                  <c:v>14319</c:v>
                </c:pt>
                <c:pt idx="40">
                  <c:v>5685</c:v>
                </c:pt>
                <c:pt idx="41">
                  <c:v>2177</c:v>
                </c:pt>
                <c:pt idx="42">
                  <c:v>8267</c:v>
                </c:pt>
                <c:pt idx="43">
                  <c:v>15799</c:v>
                </c:pt>
                <c:pt idx="44">
                  <c:v>12323</c:v>
                </c:pt>
                <c:pt idx="45">
                  <c:v>10641</c:v>
                </c:pt>
                <c:pt idx="46">
                  <c:v>4485</c:v>
                </c:pt>
                <c:pt idx="47">
                  <c:v>8296</c:v>
                </c:pt>
                <c:pt idx="48">
                  <c:v>2373</c:v>
                </c:pt>
                <c:pt idx="49">
                  <c:v>14289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B-48D4-A0E8-9DADE31F5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953632"/>
        <c:axId val="999928672"/>
      </c:scatterChart>
      <c:valAx>
        <c:axId val="99995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Investimento em Marketing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28672"/>
        <c:crosses val="autoZero"/>
        <c:crossBetween val="midCat"/>
      </c:valAx>
      <c:valAx>
        <c:axId val="99992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Vendas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5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Composição de Vendas por Produto - Online vs Loja Física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vendas_composicao!$B$1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vendas_composicao!$A$2:$A$6</c:f>
              <c:strCache>
                <c:ptCount val="5"/>
                <c:pt idx="0">
                  <c:v>Camiseta</c:v>
                </c:pt>
                <c:pt idx="1">
                  <c:v>Calça</c:v>
                </c:pt>
                <c:pt idx="2">
                  <c:v>Tênis</c:v>
                </c:pt>
                <c:pt idx="3">
                  <c:v>Boné</c:v>
                </c:pt>
                <c:pt idx="4">
                  <c:v>Moletom</c:v>
                </c:pt>
              </c:strCache>
            </c:strRef>
          </c:cat>
          <c:val>
            <c:numRef>
              <c:f>vendas_composicao!$B$2:$B$6</c:f>
              <c:numCache>
                <c:formatCode>General</c:formatCode>
                <c:ptCount val="5"/>
                <c:pt idx="0">
                  <c:v>1908</c:v>
                </c:pt>
                <c:pt idx="1">
                  <c:v>1900</c:v>
                </c:pt>
                <c:pt idx="2">
                  <c:v>1806</c:v>
                </c:pt>
                <c:pt idx="3">
                  <c:v>1472</c:v>
                </c:pt>
                <c:pt idx="4">
                  <c:v>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4-4826-ACDC-FD65C06E972A}"/>
            </c:ext>
          </c:extLst>
        </c:ser>
        <c:ser>
          <c:idx val="1"/>
          <c:order val="1"/>
          <c:tx>
            <c:strRef>
              <c:f>vendas_composicao!$C$1</c:f>
              <c:strCache>
                <c:ptCount val="1"/>
                <c:pt idx="0">
                  <c:v>loja_fisica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vendas_composicao!$A$2:$A$6</c:f>
              <c:strCache>
                <c:ptCount val="5"/>
                <c:pt idx="0">
                  <c:v>Camiseta</c:v>
                </c:pt>
                <c:pt idx="1">
                  <c:v>Calça</c:v>
                </c:pt>
                <c:pt idx="2">
                  <c:v>Tênis</c:v>
                </c:pt>
                <c:pt idx="3">
                  <c:v>Boné</c:v>
                </c:pt>
                <c:pt idx="4">
                  <c:v>Moletom</c:v>
                </c:pt>
              </c:strCache>
            </c:strRef>
          </c:cat>
          <c:val>
            <c:numRef>
              <c:f>vendas_composicao!$C$2:$C$6</c:f>
              <c:numCache>
                <c:formatCode>General</c:formatCode>
                <c:ptCount val="5"/>
                <c:pt idx="0">
                  <c:v>1482</c:v>
                </c:pt>
                <c:pt idx="1">
                  <c:v>909</c:v>
                </c:pt>
                <c:pt idx="2">
                  <c:v>1679</c:v>
                </c:pt>
                <c:pt idx="3">
                  <c:v>1634</c:v>
                </c:pt>
                <c:pt idx="4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4-4826-ACDC-FD65C06E97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33302656"/>
        <c:axId val="433304096"/>
      </c:barChart>
      <c:catAx>
        <c:axId val="43330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04096"/>
        <c:crosses val="autoZero"/>
        <c:auto val="1"/>
        <c:lblAlgn val="ctr"/>
        <c:lblOffset val="100"/>
        <c:noMultiLvlLbl val="0"/>
      </c:catAx>
      <c:valAx>
        <c:axId val="4333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Vendas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0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de Vendas Mensais - 2023 vs 2024</a:t>
            </a:r>
          </a:p>
        </c:rich>
      </c:tx>
      <c:layout>
        <c:manualLayout>
          <c:xMode val="edge"/>
          <c:yMode val="edge"/>
          <c:x val="0.25603238866396766"/>
          <c:y val="1.7259976470257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vendas_mensal!$B$1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vendas_mensal!$A$2:$A$13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vendas_mensal!$B$2:$B$13</c:f>
              <c:numCache>
                <c:formatCode>General</c:formatCode>
                <c:ptCount val="12"/>
                <c:pt idx="0">
                  <c:v>8860</c:v>
                </c:pt>
                <c:pt idx="1">
                  <c:v>13390</c:v>
                </c:pt>
                <c:pt idx="2">
                  <c:v>13226</c:v>
                </c:pt>
                <c:pt idx="3">
                  <c:v>13191</c:v>
                </c:pt>
                <c:pt idx="4">
                  <c:v>11772</c:v>
                </c:pt>
                <c:pt idx="5">
                  <c:v>11092</c:v>
                </c:pt>
                <c:pt idx="6">
                  <c:v>13734</c:v>
                </c:pt>
                <c:pt idx="7">
                  <c:v>14265</c:v>
                </c:pt>
                <c:pt idx="8">
                  <c:v>8466</c:v>
                </c:pt>
                <c:pt idx="9">
                  <c:v>13334</c:v>
                </c:pt>
                <c:pt idx="10">
                  <c:v>12426</c:v>
                </c:pt>
                <c:pt idx="11">
                  <c:v>13578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9-49B8-B4D8-F62D8D968FE2}"/>
            </c:ext>
          </c:extLst>
        </c:ser>
        <c:ser>
          <c:idx val="1"/>
          <c:order val="1"/>
          <c:tx>
            <c:strRef>
              <c:f>vendas_mensal!$C$1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vendas_mensal!$A$2:$A$13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vendas_mensal!$C$2:$C$13</c:f>
              <c:numCache>
                <c:formatCode>General</c:formatCode>
                <c:ptCount val="12"/>
                <c:pt idx="0">
                  <c:v>9995</c:v>
                </c:pt>
                <c:pt idx="1">
                  <c:v>15834</c:v>
                </c:pt>
                <c:pt idx="2">
                  <c:v>15397</c:v>
                </c:pt>
                <c:pt idx="3">
                  <c:v>15110</c:v>
                </c:pt>
                <c:pt idx="4">
                  <c:v>14507</c:v>
                </c:pt>
                <c:pt idx="5">
                  <c:v>10222</c:v>
                </c:pt>
                <c:pt idx="6">
                  <c:v>14419</c:v>
                </c:pt>
                <c:pt idx="7">
                  <c:v>16645</c:v>
                </c:pt>
                <c:pt idx="8">
                  <c:v>8235</c:v>
                </c:pt>
                <c:pt idx="9">
                  <c:v>14725</c:v>
                </c:pt>
                <c:pt idx="10">
                  <c:v>12941</c:v>
                </c:pt>
                <c:pt idx="11">
                  <c:v>16063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9-49B8-B4D8-F62D8D968FE2}"/>
            </c:ext>
          </c:extLst>
        </c:ser>
        <c:ser>
          <c:idx val="2"/>
          <c:order val="2"/>
          <c:tx>
            <c:strRef>
              <c:f>vendas_mensal!$D$1</c:f>
              <c:strCache>
                <c:ptCount val="1"/>
                <c:pt idx="0">
                  <c:v>minigraficos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vendas_mensal!$A$2:$A$13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vendas_mensal!$D$2:$D$13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F9-49B8-B4D8-F62D8D968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816400"/>
        <c:axId val="1044814960"/>
      </c:lineChart>
      <c:catAx>
        <c:axId val="104481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meses (Jan a Dez)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814960"/>
        <c:crosses val="autoZero"/>
        <c:auto val="1"/>
        <c:lblAlgn val="ctr"/>
        <c:lblOffset val="100"/>
        <c:noMultiLvlLbl val="0"/>
      </c:catAx>
      <c:valAx>
        <c:axId val="10448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Vendas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81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Participação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tx>
          <c:dPt>
            <c:idx val="0"/>
            <c:bubble3D val="0"/>
            <c:explosion val="16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AC-4600-A17D-B2D0447E084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AC-4600-A17D-B2D0447E084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AC-4600-A17D-B2D0447E0843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AC-4600-A17D-B2D0447E0843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AC-4600-A17D-B2D0447E084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vendas_categoria!$A$2:$A$6</c:f>
              <c:strCache>
                <c:ptCount val="5"/>
                <c:pt idx="0">
                  <c:v>Eletrônicos</c:v>
                </c:pt>
                <c:pt idx="1">
                  <c:v>Vestuário</c:v>
                </c:pt>
                <c:pt idx="2">
                  <c:v>Alimentos</c:v>
                </c:pt>
                <c:pt idx="3">
                  <c:v>Móveis</c:v>
                </c:pt>
                <c:pt idx="4">
                  <c:v>Livros</c:v>
                </c:pt>
              </c:strCache>
            </c:strRef>
          </c:cat>
          <c:val>
            <c:numRef>
              <c:f>vendas_categoria!$B$2:$B$6</c:f>
              <c:numCache>
                <c:formatCode>General</c:formatCode>
                <c:ptCount val="5"/>
                <c:pt idx="0">
                  <c:v>45200</c:v>
                </c:pt>
                <c:pt idx="1">
                  <c:v>38900</c:v>
                </c:pt>
                <c:pt idx="2">
                  <c:v>23400</c:v>
                </c:pt>
                <c:pt idx="3">
                  <c:v>18700</c:v>
                </c:pt>
                <c:pt idx="4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AC-4600-A17D-B2D0447E0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Categoria - 2024</a:t>
            </a:r>
          </a:p>
        </c:rich>
      </c:tx>
      <c:layout>
        <c:manualLayout>
          <c:xMode val="edge"/>
          <c:yMode val="edge"/>
          <c:x val="0.34781207658777163"/>
          <c:y val="2.69360237621447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vendas_categoria!$A$2</c:f>
              <c:strCache>
                <c:ptCount val="1"/>
                <c:pt idx="0">
                  <c:v>Eletrônicos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cat>
          <c:val>
            <c:numRef>
              <c:f>vendas_categoria!$B$2</c:f>
              <c:numCache>
                <c:formatCode>General</c:formatCode>
                <c:ptCount val="1"/>
                <c:pt idx="0">
                  <c:v>45200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3-4636-B7B8-F4B71BF6BF91}"/>
            </c:ext>
          </c:extLst>
        </c:ser>
        <c:ser>
          <c:idx val="1"/>
          <c:order val="1"/>
          <c:tx>
            <c:strRef>
              <c:f>vendas_categoria!$A$3</c:f>
              <c:strCache>
                <c:ptCount val="1"/>
                <c:pt idx="0">
                  <c:v>Vestuário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cat>
          <c:val>
            <c:numRef>
              <c:f>vendas_categoria!$B$3</c:f>
              <c:numCache>
                <c:formatCode>General</c:formatCode>
                <c:ptCount val="1"/>
                <c:pt idx="0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3-4636-B7B8-F4B71BF6BF91}"/>
            </c:ext>
          </c:extLst>
        </c:ser>
        <c:ser>
          <c:idx val="2"/>
          <c:order val="2"/>
          <c:tx>
            <c:strRef>
              <c:f>vendas_categoria!$A$4</c:f>
              <c:strCache>
                <c:ptCount val="1"/>
                <c:pt idx="0">
                  <c:v>Alimentos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cat>
          <c:val>
            <c:numRef>
              <c:f>vendas_categoria!$B$4</c:f>
              <c:numCache>
                <c:formatCode>General</c:formatCode>
                <c:ptCount val="1"/>
                <c:pt idx="0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3-4636-B7B8-F4B71BF6BF91}"/>
            </c:ext>
          </c:extLst>
        </c:ser>
        <c:ser>
          <c:idx val="3"/>
          <c:order val="3"/>
          <c:tx>
            <c:strRef>
              <c:f>vendas_categoria!$A$5</c:f>
              <c:strCache>
                <c:ptCount val="1"/>
                <c:pt idx="0">
                  <c:v>Móveis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cat>
          <c:val>
            <c:numRef>
              <c:f>vendas_categoria!$B$5</c:f>
              <c:numCache>
                <c:formatCode>General</c:formatCode>
                <c:ptCount val="1"/>
                <c:pt idx="0">
                  <c:v>18700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A3-4636-B7B8-F4B71BF6BF91}"/>
            </c:ext>
          </c:extLst>
        </c:ser>
        <c:ser>
          <c:idx val="4"/>
          <c:order val="4"/>
          <c:tx>
            <c:strRef>
              <c:f>vendas_categoria!$A$6</c:f>
              <c:strCache>
                <c:ptCount val="1"/>
                <c:pt idx="0">
                  <c:v>Livros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vendas_categoria!$B$1</c:f>
              <c:strCache>
                <c:ptCount val="1"/>
                <c:pt idx="0">
                  <c:v>vendas</c:v>
                </c:pt>
              </c:strCache>
            </c:strRef>
          </c:cat>
          <c:val>
            <c:numRef>
              <c:f>vendas_categoria!$B$6</c:f>
              <c:numCache>
                <c:formatCode>General</c:formatCode>
                <c:ptCount val="1"/>
                <c:pt idx="0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A3-4636-B7B8-F4B71BF6BF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7776448"/>
        <c:axId val="1047777408"/>
      </c:barChart>
      <c:catAx>
        <c:axId val="1047776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777408"/>
        <c:crosses val="autoZero"/>
        <c:auto val="1"/>
        <c:lblAlgn val="ctr"/>
        <c:lblOffset val="100"/>
        <c:noMultiLvlLbl val="0"/>
      </c:catAx>
      <c:valAx>
        <c:axId val="10477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Vendas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77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7</xdr:row>
      <xdr:rowOff>23812</xdr:rowOff>
    </xdr:from>
    <xdr:to>
      <xdr:col>10</xdr:col>
      <xdr:colOff>333375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7C7982-FAF5-F914-5E71-3CCC39F01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166687</xdr:colOff>
      <xdr:row>2</xdr:row>
      <xdr:rowOff>176212</xdr:rowOff>
    </xdr:from>
    <xdr:to>
      <xdr:col>21</xdr:col>
      <xdr:colOff>47625</xdr:colOff>
      <xdr:row>20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5B5EB5-EFB5-3371-B8D5-00578EA0A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180975</xdr:colOff>
      <xdr:row>11</xdr:row>
      <xdr:rowOff>109537</xdr:rowOff>
    </xdr:from>
    <xdr:to>
      <xdr:col>14</xdr:col>
      <xdr:colOff>485775</xdr:colOff>
      <xdr:row>25</xdr:row>
      <xdr:rowOff>185737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F863D75-5009-1D9E-554D-C2A0DE842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0.38333</cdr:x>
      <cdr:y>0.61979</cdr:y>
    </cdr:from>
    <cdr:to>
      <cdr:x>0.64583</cdr:x>
      <cdr:y>0.71354</cdr:y>
    </cdr:to>
    <cdr:sp macro="" textlink="vendas_categoria!$D$2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CA858B-9AA2-4DB8-B3A4-1D2DADAC20BF}"/>
            </a:ext>
          </a:extLst>
        </cdr:cNvPr>
        <cdr:cNvSpPr txBox="1"/>
      </cdr:nvSpPr>
      <cdr:spPr>
        <a:xfrm xmlns:a="http://schemas.openxmlformats.org/drawingml/2006/main">
          <a:off x="1752598" y="1700213"/>
          <a:ext cx="1200151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63DF31E3-C9CF-419A-AEE9-FA80C5BBF7CD}" type="TxLink">
            <a:rPr lang="en-US" sz="1100" b="0" i="0" u="none" strike="noStrike" kern="1200">
              <a:solidFill>
                <a:srgbClr val="000000"/>
              </a:solidFill>
              <a:latin typeface="Aptos Narrow"/>
            </a:rPr>
            <a:t> R$ 136,000.00 </a:t>
          </a:fld>
          <a:endParaRPr lang="en-US" sz="1100" kern="1200"/>
        </a:p>
      </cdr:txBody>
    </cdr:sp>
  </cdr:relSizeAnchor>
  <cdr:relSizeAnchor xmlns:cdr="http://schemas.openxmlformats.org/drawingml/2006/chartDrawing">
    <cdr:from>
      <cdr:x>0.4375</cdr:x>
      <cdr:y>0.52604</cdr:y>
    </cdr:from>
    <cdr:to>
      <cdr:x>0.64792</cdr:x>
      <cdr:y>0.61979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9684C3B-C07F-2E87-8672-9B54E688F52E}"/>
            </a:ext>
          </a:extLst>
        </cdr:cNvPr>
        <cdr:cNvSpPr txBox="1"/>
      </cdr:nvSpPr>
      <cdr:spPr>
        <a:xfrm xmlns:a="http://schemas.openxmlformats.org/drawingml/2006/main">
          <a:off x="2000250" y="1443038"/>
          <a:ext cx="96202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TOTAL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14</xdr:row>
      <xdr:rowOff>166687</xdr:rowOff>
    </xdr:from>
    <xdr:to>
      <xdr:col>9</xdr:col>
      <xdr:colOff>285750</xdr:colOff>
      <xdr:row>32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B25ECA-9FE9-8E20-FEF7-4AD55AF97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404812</xdr:colOff>
      <xdr:row>16</xdr:row>
      <xdr:rowOff>147637</xdr:rowOff>
    </xdr:from>
    <xdr:to>
      <xdr:col>18</xdr:col>
      <xdr:colOff>100012</xdr:colOff>
      <xdr:row>31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681D40-26BD-057B-8354-58A1608A6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</xdr:row>
      <xdr:rowOff>104775</xdr:rowOff>
    </xdr:from>
    <xdr:to>
      <xdr:col>13</xdr:col>
      <xdr:colOff>285750</xdr:colOff>
      <xdr:row>25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F73BD1-9C8F-5F6E-041E-9B4070C4E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10</xdr:row>
      <xdr:rowOff>147637</xdr:rowOff>
    </xdr:from>
    <xdr:to>
      <xdr:col>14</xdr:col>
      <xdr:colOff>523875</xdr:colOff>
      <xdr:row>29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5AB8BF-6D60-D7B6-BAD3-A2BD07D28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600075</xdr:colOff>
      <xdr:row>15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E41B30-F6E6-4C4F-A820-B7E8DE172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0</xdr:row>
      <xdr:rowOff>0</xdr:rowOff>
    </xdr:from>
    <xdr:to>
      <xdr:col>22</xdr:col>
      <xdr:colOff>285750</xdr:colOff>
      <xdr:row>16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C19023-C02A-42A9-959E-373027139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600074</xdr:colOff>
      <xdr:row>0</xdr:row>
      <xdr:rowOff>295274</xdr:rowOff>
    </xdr:from>
    <xdr:to>
      <xdr:col>14</xdr:col>
      <xdr:colOff>609599</xdr:colOff>
      <xdr:row>16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F3964A-7ECD-4C59-ACC4-D0AEE837A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C31B43A4-4542-4212-B7F4-BAAE3B018519}" autoFormatId="16" applyNumberFormats="0" applyBorderFormats="0" applyFontFormats="0" applyPatternFormats="0" applyAlignmentFormats="0" applyWidthHeightFormats="0">
  <queryTableRefresh nextId="3">
    <queryTableFields count="2">
      <queryTableField id="1" name="categoria" tableColumnId="1"/>
      <queryTableField id="2" name="venda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4832884C-7AF0-4F97-B2B4-1845AAFF08D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mes" tableColumnId="1"/>
      <queryTableField id="2" name="2023" tableColumnId="2"/>
      <queryTableField id="3" name="2024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2B606B9-D824-466D-B7D5-7D182B488D5E}" autoFormatId="16" applyNumberFormats="0" applyBorderFormats="0" applyFontFormats="0" applyPatternFormats="0" applyAlignmentFormats="0" applyWidthHeightFormats="0">
  <queryTableRefresh nextId="3">
    <queryTableFields count="2">
      <queryTableField id="1" name="investimento_marketing" tableColumnId="1"/>
      <queryTableField id="2" name="venda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265DEF19-E77F-4406-9AF9-0CEB85F51976}" autoFormatId="16" applyNumberFormats="0" applyBorderFormats="0" applyFontFormats="0" applyPatternFormats="0" applyAlignmentFormats="0" applyWidthHeightFormats="0">
  <queryTableRefresh nextId="4">
    <queryTableFields count="3">
      <queryTableField id="1" name="produto" tableColumnId="1"/>
      <queryTableField id="2" name="online" tableColumnId="2"/>
      <queryTableField id="3" name="loja_fisic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5B350-09CF-439A-8AFD-35A20EA8A11A}" name="tblVendasCategoria" displayName="tblVendasCategoria" ref="A1:B6" tableType="queryTable" totalsRowShown="0">
  <autoFilter ref="A1:B6" xr:uid="{3E75B350-09CF-439A-8AFD-35A20EA8A11A}"/>
  <tableColumns count="2">
    <tableColumn id="1" xr3:uid="{EE4B3A4B-F0B4-49BB-A1FE-830A29E5DA62}" uniqueName="1" name="categoria" queryTableFieldId="1" dataDxfId="0"/>
    <tableColumn id="2" xr3:uid="{BF137F3F-AD8C-40C5-A939-DBAB9BFBD523}" uniqueName="2" name="venda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FE69B5-23B5-4154-A804-F31A655D32F9}" name="tblVendasMensal" displayName="tblVendasMensal" ref="A1:D13" tableType="queryTable" totalsRowShown="0">
  <autoFilter ref="A1:D13" xr:uid="{BAFE69B5-23B5-4154-A804-F31A655D32F9}"/>
  <tableColumns count="4">
    <tableColumn id="1" xr3:uid="{F9062CA7-2C47-4FD0-95FC-B55D9C27C0D3}" uniqueName="1" name="mes" queryTableFieldId="1" dataDxfId="2"/>
    <tableColumn id="2" xr3:uid="{AB5BB350-5F82-4D9A-9FF6-3A731EF06407}" uniqueName="2" name="2023" queryTableFieldId="2"/>
    <tableColumn id="3" xr3:uid="{CD18E690-C8DC-4AB6-829A-BFBE43FF6051}" uniqueName="3" name="2024" queryTableFieldId="3"/>
    <tableColumn id="4" xr3:uid="{D9AFEE03-5E80-4DEE-ACC6-5CE3930AF7F6}" uniqueName="4" name="minigrafico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1F372E4-0DD6-4980-A8BF-DE8C2036D5ED}" name="Tabela26" displayName="Tabela26" ref="E3:R5" totalsRowShown="0">
  <autoFilter ref="E3:R5" xr:uid="{61F372E4-0DD6-4980-A8BF-DE8C2036D5ED}"/>
  <tableColumns count="14">
    <tableColumn id="1" xr3:uid="{FEA611F5-EC90-44AE-9141-CE21A3B43F05}" name="ano"/>
    <tableColumn id="2" xr3:uid="{21AA7D26-1537-44B2-B390-69DFC0770504}" name="Jan"/>
    <tableColumn id="3" xr3:uid="{6ECA25A1-6CEF-4BEB-8C47-6D3E9C921635}" name="Fev"/>
    <tableColumn id="4" xr3:uid="{DDE591E7-BB4F-4B02-8D52-12949109319D}" name="Mar"/>
    <tableColumn id="5" xr3:uid="{CDE5A385-A075-4352-8CB4-2FB04D99B726}" name="Abr"/>
    <tableColumn id="6" xr3:uid="{0B540BA6-C158-4E11-9368-1C8ADD912E7E}" name="Mai"/>
    <tableColumn id="7" xr3:uid="{1FCA6A4C-0D27-4646-BF26-0E15B673FDE1}" name="Jun"/>
    <tableColumn id="8" xr3:uid="{B2D26F23-A600-4444-ACAB-231FC39CE678}" name="Jul"/>
    <tableColumn id="9" xr3:uid="{1F7AE5E5-9565-4257-8C4C-EC27D03765BF}" name="Ago"/>
    <tableColumn id="10" xr3:uid="{138296C7-1100-466D-A1F0-0FFE029B4454}" name="Set"/>
    <tableColumn id="11" xr3:uid="{AE7F4CF8-938A-4B9F-A8AA-5D085532FEAB}" name="Out"/>
    <tableColumn id="12" xr3:uid="{74442537-D071-48E8-978E-68EE081AC896}" name="Nov"/>
    <tableColumn id="13" xr3:uid="{83475A04-820F-4F4D-9B7C-A316EEBDC00E}" name="Dez"/>
    <tableColumn id="14" xr3:uid="{ED95FF8F-7A6B-4C36-A2AC-2FD8A0A9FC5D}" name="minigrafic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7A09E7-EED3-40FF-B768-0C5BD97CEAA7}" name="marketing_vendas" displayName="marketing_vendas" ref="A1:B51" tableType="queryTable" totalsRowShown="0">
  <autoFilter ref="A1:B51" xr:uid="{677A09E7-EED3-40FF-B768-0C5BD97CEAA7}"/>
  <tableColumns count="2">
    <tableColumn id="1" xr3:uid="{FF07BD73-2266-4978-80DF-BE20914E2A57}" uniqueName="1" name="investimento_marketing" queryTableFieldId="1"/>
    <tableColumn id="2" xr3:uid="{E13FD73C-28D5-4601-86F0-1CF74B5E76EF}" uniqueName="2" name="venda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5E618B-8FAD-46A9-9A20-77E5C8CDE4D4}" name="vendas_composicao" displayName="vendas_composicao" ref="A1:C6" tableType="queryTable" totalsRowShown="0">
  <autoFilter ref="A1:C6" xr:uid="{E45E618B-8FAD-46A9-9A20-77E5C8CDE4D4}"/>
  <tableColumns count="3">
    <tableColumn id="1" xr3:uid="{7F10DA78-B6F2-49AB-B610-ED44A6560608}" uniqueName="1" name="produto" queryTableFieldId="1" dataDxfId="1"/>
    <tableColumn id="2" xr3:uid="{93BA9983-A3DF-4E2B-AB57-0036D4A8C898}" uniqueName="2" name="online" queryTableFieldId="2"/>
    <tableColumn id="3" xr3:uid="{7446D747-6F20-4684-B626-49D249F611CE}" uniqueName="3" name="loja_fisica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C966-17A6-4E35-9794-FC9B5E758922}">
  <dimension ref="A1:D6"/>
  <sheetViews>
    <sheetView workbookViewId="0">
      <selection activeCell="Q29" sqref="Q29"/>
    </sheetView>
  </sheetViews>
  <sheetFormatPr defaultRowHeight="15" x14ac:dyDescent="0.25"/>
  <cols>
    <col min="1" max="1" width="11.5703125" bestFit="1" customWidth="1"/>
    <col min="2" max="2" width="9.7109375" bestFit="1" customWidth="1"/>
    <col min="4" max="4" width="14.285156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 t="s">
        <v>2</v>
      </c>
      <c r="B2">
        <v>45200</v>
      </c>
      <c r="D2" s="2">
        <f>SUM(tblVendasCategoria[vendas])</f>
        <v>136000</v>
      </c>
    </row>
    <row r="3" spans="1:4" x14ac:dyDescent="0.25">
      <c r="A3" s="1" t="s">
        <v>3</v>
      </c>
      <c r="B3">
        <v>38900</v>
      </c>
    </row>
    <row r="4" spans="1:4" x14ac:dyDescent="0.25">
      <c r="A4" s="1" t="s">
        <v>4</v>
      </c>
      <c r="B4">
        <v>23400</v>
      </c>
    </row>
    <row r="5" spans="1:4" x14ac:dyDescent="0.25">
      <c r="A5" s="1" t="s">
        <v>5</v>
      </c>
      <c r="B5">
        <v>18700</v>
      </c>
    </row>
    <row r="6" spans="1:4" x14ac:dyDescent="0.25">
      <c r="A6" s="1" t="s">
        <v>6</v>
      </c>
      <c r="B6">
        <v>9800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420A-607D-4926-81EA-9F6E61642B15}">
  <dimension ref="A1:R14"/>
  <sheetViews>
    <sheetView tabSelected="1" workbookViewId="0">
      <selection activeCell="E3" sqref="E3:Q5"/>
    </sheetView>
  </sheetViews>
  <sheetFormatPr defaultRowHeight="15" x14ac:dyDescent="0.25"/>
  <cols>
    <col min="1" max="1" width="7.140625" bestFit="1" customWidth="1"/>
    <col min="2" max="3" width="7.28515625" bestFit="1" customWidth="1"/>
    <col min="4" max="4" width="13" customWidth="1"/>
  </cols>
  <sheetData>
    <row r="1" spans="1:18" x14ac:dyDescent="0.25">
      <c r="A1" t="s">
        <v>7</v>
      </c>
      <c r="B1" t="s">
        <v>20</v>
      </c>
      <c r="C1" t="s">
        <v>21</v>
      </c>
      <c r="D1" t="s">
        <v>33</v>
      </c>
    </row>
    <row r="2" spans="1:18" x14ac:dyDescent="0.25">
      <c r="A2" s="1" t="s">
        <v>8</v>
      </c>
      <c r="B2">
        <v>8860</v>
      </c>
      <c r="C2">
        <v>9995</v>
      </c>
    </row>
    <row r="3" spans="1:18" x14ac:dyDescent="0.25">
      <c r="A3" s="1" t="s">
        <v>9</v>
      </c>
      <c r="B3">
        <v>13390</v>
      </c>
      <c r="C3">
        <v>15834</v>
      </c>
      <c r="E3" t="s">
        <v>32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33</v>
      </c>
    </row>
    <row r="4" spans="1:18" x14ac:dyDescent="0.25">
      <c r="A4" s="1" t="s">
        <v>10</v>
      </c>
      <c r="B4">
        <v>13226</v>
      </c>
      <c r="C4">
        <v>15397</v>
      </c>
      <c r="E4">
        <v>2023</v>
      </c>
      <c r="F4">
        <v>8860</v>
      </c>
      <c r="G4">
        <v>13390</v>
      </c>
      <c r="H4">
        <v>13226</v>
      </c>
      <c r="I4">
        <v>13191</v>
      </c>
      <c r="J4">
        <v>11772</v>
      </c>
      <c r="K4">
        <v>11092</v>
      </c>
      <c r="L4">
        <v>13734</v>
      </c>
      <c r="M4">
        <v>14265</v>
      </c>
      <c r="N4">
        <v>8466</v>
      </c>
      <c r="O4">
        <v>13334</v>
      </c>
      <c r="P4">
        <v>12426</v>
      </c>
      <c r="Q4">
        <v>13578</v>
      </c>
    </row>
    <row r="5" spans="1:18" x14ac:dyDescent="0.25">
      <c r="A5" s="1" t="s">
        <v>11</v>
      </c>
      <c r="B5">
        <v>13191</v>
      </c>
      <c r="C5">
        <v>15110</v>
      </c>
      <c r="E5">
        <v>2024</v>
      </c>
      <c r="F5">
        <v>9995</v>
      </c>
      <c r="G5">
        <v>15834</v>
      </c>
      <c r="H5">
        <v>15397</v>
      </c>
      <c r="I5">
        <v>15110</v>
      </c>
      <c r="J5">
        <v>14507</v>
      </c>
      <c r="K5">
        <v>10222</v>
      </c>
      <c r="L5">
        <v>14419</v>
      </c>
      <c r="M5">
        <v>16645</v>
      </c>
      <c r="N5">
        <v>8235</v>
      </c>
      <c r="O5">
        <v>14725</v>
      </c>
      <c r="P5">
        <v>12941</v>
      </c>
      <c r="Q5">
        <v>16063</v>
      </c>
    </row>
    <row r="6" spans="1:18" x14ac:dyDescent="0.25">
      <c r="A6" s="1" t="s">
        <v>12</v>
      </c>
      <c r="B6">
        <v>11772</v>
      </c>
      <c r="C6">
        <v>14507</v>
      </c>
      <c r="E6" s="1"/>
    </row>
    <row r="7" spans="1:18" x14ac:dyDescent="0.25">
      <c r="A7" s="1" t="s">
        <v>13</v>
      </c>
      <c r="B7">
        <v>11092</v>
      </c>
      <c r="C7">
        <v>10222</v>
      </c>
      <c r="E7" s="1"/>
    </row>
    <row r="8" spans="1:18" x14ac:dyDescent="0.25">
      <c r="A8" s="1" t="s">
        <v>14</v>
      </c>
      <c r="B8">
        <v>13734</v>
      </c>
      <c r="C8">
        <v>14419</v>
      </c>
      <c r="E8" s="1"/>
    </row>
    <row r="9" spans="1:18" x14ac:dyDescent="0.25">
      <c r="A9" s="1" t="s">
        <v>15</v>
      </c>
      <c r="B9">
        <v>14265</v>
      </c>
      <c r="C9">
        <v>16645</v>
      </c>
      <c r="E9" s="1"/>
    </row>
    <row r="10" spans="1:18" x14ac:dyDescent="0.25">
      <c r="A10" s="1" t="s">
        <v>16</v>
      </c>
      <c r="B10">
        <v>8466</v>
      </c>
      <c r="C10">
        <v>8235</v>
      </c>
      <c r="E10" s="1"/>
    </row>
    <row r="11" spans="1:18" x14ac:dyDescent="0.25">
      <c r="A11" s="1" t="s">
        <v>17</v>
      </c>
      <c r="B11">
        <v>13334</v>
      </c>
      <c r="C11">
        <v>14725</v>
      </c>
      <c r="E11" s="1"/>
    </row>
    <row r="12" spans="1:18" x14ac:dyDescent="0.25">
      <c r="A12" s="1" t="s">
        <v>18</v>
      </c>
      <c r="B12">
        <v>12426</v>
      </c>
      <c r="C12">
        <v>12941</v>
      </c>
      <c r="E12" s="1"/>
    </row>
    <row r="13" spans="1:18" x14ac:dyDescent="0.25">
      <c r="A13" s="1" t="s">
        <v>19</v>
      </c>
      <c r="B13">
        <v>13578</v>
      </c>
      <c r="C13">
        <v>16063</v>
      </c>
      <c r="E13" s="1"/>
    </row>
    <row r="14" spans="1:18" x14ac:dyDescent="0.25">
      <c r="E14" s="1"/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18A512E-CBF4-4CC8-AB8C-0A12CBC02D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vendas_mensal!B2:D2</xm:f>
              <xm:sqref>D2</xm:sqref>
            </x14:sparkline>
            <x14:sparkline>
              <xm:f>vendas_mensal!B3:D3</xm:f>
              <xm:sqref>D3</xm:sqref>
            </x14:sparkline>
            <x14:sparkline>
              <xm:f>vendas_mensal!B4:D4</xm:f>
              <xm:sqref>D4</xm:sqref>
            </x14:sparkline>
            <x14:sparkline>
              <xm:f>vendas_mensal!B5:D5</xm:f>
              <xm:sqref>D5</xm:sqref>
            </x14:sparkline>
            <x14:sparkline>
              <xm:f>vendas_mensal!B6:D6</xm:f>
              <xm:sqref>D6</xm:sqref>
            </x14:sparkline>
            <x14:sparkline>
              <xm:f>vendas_mensal!B7:D7</xm:f>
              <xm:sqref>D7</xm:sqref>
            </x14:sparkline>
            <x14:sparkline>
              <xm:f>vendas_mensal!B8:D8</xm:f>
              <xm:sqref>D8</xm:sqref>
            </x14:sparkline>
            <x14:sparkline>
              <xm:f>vendas_mensal!B9:D9</xm:f>
              <xm:sqref>D9</xm:sqref>
            </x14:sparkline>
            <x14:sparkline>
              <xm:f>vendas_mensal!B10:D10</xm:f>
              <xm:sqref>D10</xm:sqref>
            </x14:sparkline>
            <x14:sparkline>
              <xm:f>vendas_mensal!B11:D11</xm:f>
              <xm:sqref>D11</xm:sqref>
            </x14:sparkline>
            <x14:sparkline>
              <xm:f>vendas_mensal!B12:D12</xm:f>
              <xm:sqref>D12</xm:sqref>
            </x14:sparkline>
            <x14:sparkline>
              <xm:f>vendas_mensal!B13:D13</xm:f>
              <xm:sqref>D13</xm:sqref>
            </x14:sparkline>
          </x14:sparklines>
        </x14:sparklineGroup>
        <x14:sparklineGroup displayEmptyCellsAs="gap" xr2:uid="{504FBD92-9CFF-46C4-8E78-BC3C41273E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vendas_mensal!F5:R5</xm:f>
              <xm:sqref>R5</xm:sqref>
            </x14:sparkline>
          </x14:sparklines>
        </x14:sparklineGroup>
        <x14:sparklineGroup displayEmptyCellsAs="gap" xr2:uid="{6A5D2BB5-6682-42A7-B401-85269A631F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vendas_mensal!F4:R4</xm:f>
              <xm:sqref>R4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1E4-D2D5-427B-A2CE-D1EF9220402A}">
  <dimension ref="A1:B51"/>
  <sheetViews>
    <sheetView workbookViewId="0">
      <selection activeCell="Q18" sqref="Q18"/>
    </sheetView>
  </sheetViews>
  <sheetFormatPr defaultRowHeight="15" x14ac:dyDescent="0.25"/>
  <cols>
    <col min="1" max="1" width="25.5703125" bestFit="1" customWidth="1"/>
    <col min="2" max="2" width="9.7109375" bestFit="1" customWidth="1"/>
  </cols>
  <sheetData>
    <row r="1" spans="1:2" x14ac:dyDescent="0.25">
      <c r="A1" t="s">
        <v>22</v>
      </c>
      <c r="B1" t="s">
        <v>1</v>
      </c>
    </row>
    <row r="2" spans="1:2" x14ac:dyDescent="0.25">
      <c r="A2">
        <v>7949</v>
      </c>
      <c r="B2">
        <v>9905</v>
      </c>
    </row>
    <row r="3" spans="1:2" x14ac:dyDescent="0.25">
      <c r="A3">
        <v>3433</v>
      </c>
      <c r="B3">
        <v>1982</v>
      </c>
    </row>
    <row r="4" spans="1:2" x14ac:dyDescent="0.25">
      <c r="A4">
        <v>6311</v>
      </c>
      <c r="B4">
        <v>11013</v>
      </c>
    </row>
    <row r="5" spans="1:2" x14ac:dyDescent="0.25">
      <c r="A5">
        <v>6051</v>
      </c>
      <c r="B5">
        <v>8000</v>
      </c>
    </row>
    <row r="6" spans="1:2" x14ac:dyDescent="0.25">
      <c r="A6">
        <v>7420</v>
      </c>
      <c r="B6">
        <v>8436</v>
      </c>
    </row>
    <row r="7" spans="1:2" x14ac:dyDescent="0.25">
      <c r="A7">
        <v>2184</v>
      </c>
      <c r="B7">
        <v>1514</v>
      </c>
    </row>
    <row r="8" spans="1:2" x14ac:dyDescent="0.25">
      <c r="A8">
        <v>5555</v>
      </c>
      <c r="B8">
        <v>6071</v>
      </c>
    </row>
    <row r="9" spans="1:2" x14ac:dyDescent="0.25">
      <c r="A9">
        <v>4385</v>
      </c>
      <c r="B9">
        <v>6846</v>
      </c>
    </row>
    <row r="10" spans="1:2" x14ac:dyDescent="0.25">
      <c r="A10">
        <v>7396</v>
      </c>
      <c r="B10">
        <v>12258</v>
      </c>
    </row>
    <row r="11" spans="1:2" x14ac:dyDescent="0.25">
      <c r="A11">
        <v>9666</v>
      </c>
      <c r="B11">
        <v>16274</v>
      </c>
    </row>
    <row r="12" spans="1:2" x14ac:dyDescent="0.25">
      <c r="A12">
        <v>3558</v>
      </c>
      <c r="B12">
        <v>7125</v>
      </c>
    </row>
    <row r="13" spans="1:2" x14ac:dyDescent="0.25">
      <c r="A13">
        <v>8849</v>
      </c>
      <c r="B13">
        <v>14783</v>
      </c>
    </row>
    <row r="14" spans="1:2" x14ac:dyDescent="0.25">
      <c r="A14">
        <v>3047</v>
      </c>
      <c r="B14">
        <v>4156</v>
      </c>
    </row>
    <row r="15" spans="1:2" x14ac:dyDescent="0.25">
      <c r="A15">
        <v>3747</v>
      </c>
      <c r="B15">
        <v>4373</v>
      </c>
    </row>
    <row r="16" spans="1:2" x14ac:dyDescent="0.25">
      <c r="A16">
        <v>1189</v>
      </c>
      <c r="B16">
        <v>7800</v>
      </c>
    </row>
    <row r="17" spans="1:2" x14ac:dyDescent="0.25">
      <c r="A17">
        <v>3734</v>
      </c>
      <c r="B17">
        <v>7800</v>
      </c>
    </row>
    <row r="18" spans="1:2" x14ac:dyDescent="0.25">
      <c r="A18">
        <v>4005</v>
      </c>
      <c r="B18">
        <v>5652</v>
      </c>
    </row>
    <row r="19" spans="1:2" x14ac:dyDescent="0.25">
      <c r="A19">
        <v>5658</v>
      </c>
      <c r="B19">
        <v>7666</v>
      </c>
    </row>
    <row r="20" spans="1:2" x14ac:dyDescent="0.25">
      <c r="A20">
        <v>2899</v>
      </c>
      <c r="B20">
        <v>6707</v>
      </c>
    </row>
    <row r="21" spans="1:2" x14ac:dyDescent="0.25">
      <c r="A21">
        <v>8734</v>
      </c>
      <c r="B21">
        <v>11304</v>
      </c>
    </row>
    <row r="22" spans="1:2" x14ac:dyDescent="0.25">
      <c r="A22">
        <v>2267</v>
      </c>
      <c r="B22">
        <v>5070</v>
      </c>
    </row>
    <row r="23" spans="1:2" x14ac:dyDescent="0.25">
      <c r="A23">
        <v>2528</v>
      </c>
      <c r="B23">
        <v>4385</v>
      </c>
    </row>
    <row r="24" spans="1:2" x14ac:dyDescent="0.25">
      <c r="A24">
        <v>4556</v>
      </c>
      <c r="B24">
        <v>4758</v>
      </c>
    </row>
    <row r="25" spans="1:2" x14ac:dyDescent="0.25">
      <c r="A25">
        <v>4890</v>
      </c>
      <c r="B25">
        <v>7183</v>
      </c>
    </row>
    <row r="26" spans="1:2" x14ac:dyDescent="0.25">
      <c r="A26">
        <v>9838</v>
      </c>
      <c r="B26">
        <v>16702</v>
      </c>
    </row>
    <row r="27" spans="1:2" x14ac:dyDescent="0.25">
      <c r="A27">
        <v>6393</v>
      </c>
      <c r="B27">
        <v>11180</v>
      </c>
    </row>
    <row r="28" spans="1:2" x14ac:dyDescent="0.25">
      <c r="A28">
        <v>9792</v>
      </c>
      <c r="B28">
        <v>17678</v>
      </c>
    </row>
    <row r="29" spans="1:2" x14ac:dyDescent="0.25">
      <c r="A29">
        <v>9433</v>
      </c>
      <c r="B29">
        <v>14825</v>
      </c>
    </row>
    <row r="30" spans="1:2" x14ac:dyDescent="0.25">
      <c r="A30">
        <v>8513</v>
      </c>
      <c r="B30">
        <v>19514</v>
      </c>
    </row>
    <row r="31" spans="1:2" x14ac:dyDescent="0.25">
      <c r="A31">
        <v>3612</v>
      </c>
      <c r="B31">
        <v>3577</v>
      </c>
    </row>
    <row r="32" spans="1:2" x14ac:dyDescent="0.25">
      <c r="A32">
        <v>8041</v>
      </c>
      <c r="B32">
        <v>11264</v>
      </c>
    </row>
    <row r="33" spans="1:2" x14ac:dyDescent="0.25">
      <c r="A33">
        <v>7235</v>
      </c>
      <c r="B33">
        <v>10730</v>
      </c>
    </row>
    <row r="34" spans="1:2" x14ac:dyDescent="0.25">
      <c r="A34">
        <v>6486</v>
      </c>
      <c r="B34">
        <v>6891</v>
      </c>
    </row>
    <row r="35" spans="1:2" x14ac:dyDescent="0.25">
      <c r="A35">
        <v>8099</v>
      </c>
      <c r="B35">
        <v>14233</v>
      </c>
    </row>
    <row r="36" spans="1:2" x14ac:dyDescent="0.25">
      <c r="A36">
        <v>1775</v>
      </c>
      <c r="B36">
        <v>4469</v>
      </c>
    </row>
    <row r="37" spans="1:2" x14ac:dyDescent="0.25">
      <c r="A37">
        <v>9226</v>
      </c>
      <c r="B37">
        <v>13877</v>
      </c>
    </row>
    <row r="38" spans="1:2" x14ac:dyDescent="0.25">
      <c r="A38">
        <v>4152</v>
      </c>
      <c r="B38">
        <v>5159</v>
      </c>
    </row>
    <row r="39" spans="1:2" x14ac:dyDescent="0.25">
      <c r="A39">
        <v>2585</v>
      </c>
      <c r="B39">
        <v>887</v>
      </c>
    </row>
    <row r="40" spans="1:2" x14ac:dyDescent="0.25">
      <c r="A40">
        <v>4943</v>
      </c>
      <c r="B40">
        <v>5835</v>
      </c>
    </row>
    <row r="41" spans="1:2" x14ac:dyDescent="0.25">
      <c r="A41">
        <v>8555</v>
      </c>
      <c r="B41">
        <v>14319</v>
      </c>
    </row>
    <row r="42" spans="1:2" x14ac:dyDescent="0.25">
      <c r="A42">
        <v>4073</v>
      </c>
      <c r="B42">
        <v>5685</v>
      </c>
    </row>
    <row r="43" spans="1:2" x14ac:dyDescent="0.25">
      <c r="A43">
        <v>2021</v>
      </c>
      <c r="B43">
        <v>2177</v>
      </c>
    </row>
    <row r="44" spans="1:2" x14ac:dyDescent="0.25">
      <c r="A44">
        <v>4843</v>
      </c>
      <c r="B44">
        <v>8267</v>
      </c>
    </row>
    <row r="45" spans="1:2" x14ac:dyDescent="0.25">
      <c r="A45">
        <v>8989</v>
      </c>
      <c r="B45">
        <v>15799</v>
      </c>
    </row>
    <row r="46" spans="1:2" x14ac:dyDescent="0.25">
      <c r="A46">
        <v>7873</v>
      </c>
      <c r="B46">
        <v>12323</v>
      </c>
    </row>
    <row r="47" spans="1:2" x14ac:dyDescent="0.25">
      <c r="A47">
        <v>6675</v>
      </c>
      <c r="B47">
        <v>10641</v>
      </c>
    </row>
    <row r="48" spans="1:2" x14ac:dyDescent="0.25">
      <c r="A48">
        <v>1161</v>
      </c>
      <c r="B48">
        <v>4485</v>
      </c>
    </row>
    <row r="49" spans="1:2" x14ac:dyDescent="0.25">
      <c r="A49">
        <v>5297</v>
      </c>
      <c r="B49">
        <v>8296</v>
      </c>
    </row>
    <row r="50" spans="1:2" x14ac:dyDescent="0.25">
      <c r="A50">
        <v>1995</v>
      </c>
      <c r="B50">
        <v>2373</v>
      </c>
    </row>
    <row r="51" spans="1:2" x14ac:dyDescent="0.25">
      <c r="A51">
        <v>8629</v>
      </c>
      <c r="B51">
        <v>14289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3A5A-519D-476A-BAFC-EB90511B4273}">
  <dimension ref="A1:E6"/>
  <sheetViews>
    <sheetView workbookViewId="0">
      <selection activeCell="E4" sqref="E4"/>
    </sheetView>
  </sheetViews>
  <sheetFormatPr defaultRowHeight="15" x14ac:dyDescent="0.25"/>
  <cols>
    <col min="1" max="1" width="10.42578125" bestFit="1" customWidth="1"/>
    <col min="2" max="2" width="9" bestFit="1" customWidth="1"/>
    <col min="3" max="3" width="12.28515625" bestFit="1" customWidth="1"/>
  </cols>
  <sheetData>
    <row r="1" spans="1:5" x14ac:dyDescent="0.25">
      <c r="A1" t="s">
        <v>23</v>
      </c>
      <c r="B1" t="s">
        <v>24</v>
      </c>
      <c r="C1" t="s">
        <v>25</v>
      </c>
    </row>
    <row r="2" spans="1:5" x14ac:dyDescent="0.25">
      <c r="A2" s="1" t="s">
        <v>26</v>
      </c>
      <c r="B2">
        <v>1908</v>
      </c>
      <c r="C2">
        <v>1482</v>
      </c>
      <c r="E2">
        <f>SUM(B2:C2)</f>
        <v>3390</v>
      </c>
    </row>
    <row r="3" spans="1:5" x14ac:dyDescent="0.25">
      <c r="A3" s="1" t="s">
        <v>27</v>
      </c>
      <c r="B3">
        <v>1900</v>
      </c>
      <c r="C3">
        <v>909</v>
      </c>
      <c r="E3">
        <f t="shared" ref="E3:E6" si="0">SUM(B3:C3)</f>
        <v>2809</v>
      </c>
    </row>
    <row r="4" spans="1:5" x14ac:dyDescent="0.25">
      <c r="A4" s="1" t="s">
        <v>28</v>
      </c>
      <c r="B4">
        <v>1806</v>
      </c>
      <c r="C4">
        <v>1679</v>
      </c>
      <c r="E4">
        <f t="shared" si="0"/>
        <v>3485</v>
      </c>
    </row>
    <row r="5" spans="1:5" x14ac:dyDescent="0.25">
      <c r="A5" s="1" t="s">
        <v>29</v>
      </c>
      <c r="B5">
        <v>1472</v>
      </c>
      <c r="C5">
        <v>1634</v>
      </c>
      <c r="E5">
        <f t="shared" si="0"/>
        <v>3106</v>
      </c>
    </row>
    <row r="6" spans="1:5" x14ac:dyDescent="0.25">
      <c r="A6" s="1" t="s">
        <v>30</v>
      </c>
      <c r="B6">
        <v>2268</v>
      </c>
      <c r="C6">
        <v>848</v>
      </c>
      <c r="E6">
        <f t="shared" si="0"/>
        <v>3116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37C5-566B-4963-9F2B-E5F5111ED0E4}">
  <dimension ref="I1:O1"/>
  <sheetViews>
    <sheetView showGridLines="0" showRowColHeaders="0" workbookViewId="0">
      <selection activeCell="C24" sqref="C24"/>
    </sheetView>
  </sheetViews>
  <sheetFormatPr defaultRowHeight="15" x14ac:dyDescent="0.25"/>
  <cols>
    <col min="1" max="16384" width="9.140625" style="4"/>
  </cols>
  <sheetData>
    <row r="1" spans="9:15" ht="24" x14ac:dyDescent="0.4">
      <c r="I1" s="3" t="s">
        <v>31</v>
      </c>
      <c r="J1" s="3"/>
      <c r="K1" s="3"/>
      <c r="L1" s="3"/>
      <c r="M1" s="3"/>
      <c r="N1" s="3"/>
      <c r="O1" s="3"/>
    </row>
  </sheetData>
  <mergeCells count="1">
    <mergeCell ref="I1:O1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2A1C92-D781-4345-99EC-C1012B8412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vendas_categoria</vt:lpstr>
      <vt:lpstr>vendas_mensal</vt:lpstr>
      <vt:lpstr>marketing_vendas</vt:lpstr>
      <vt:lpstr>vendas_composicao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</dc:creator>
  <cp:lastModifiedBy>code</cp:lastModifiedBy>
  <dcterms:created xsi:type="dcterms:W3CDTF">2026-05-29T18:30:57Z</dcterms:created>
  <dcterms:modified xsi:type="dcterms:W3CDTF">2026-05-29T21:53:51Z</dcterms:modified>
</cp:coreProperties>
</file>